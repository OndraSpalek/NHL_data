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hidden" name="D-man top 10" sheetId="2" r:id="rId5"/>
  </sheets>
  <definedNames>
    <definedName hidden="1" localSheetId="1" name="_xlnm._FilterDatabase">'D-man top 10'!$A$89:$F$99</definedName>
  </definedNames>
  <calcPr/>
</workbook>
</file>

<file path=xl/sharedStrings.xml><?xml version="1.0" encoding="utf-8"?>
<sst xmlns="http://schemas.openxmlformats.org/spreadsheetml/2006/main" count="496" uniqueCount="107">
  <si>
    <t xml:space="preserve">Top 10 Dman pairs in 2022/23 season based on icetime </t>
  </si>
  <si>
    <t>D-man comparision</t>
  </si>
  <si>
    <t>Middleton-Spurgeon</t>
  </si>
  <si>
    <t>Dunn-Larsson</t>
  </si>
  <si>
    <t xml:space="preserve"> </t>
  </si>
  <si>
    <t>games_played</t>
  </si>
  <si>
    <t>time on the ice</t>
  </si>
  <si>
    <t>shotsattemptsfor</t>
  </si>
  <si>
    <t>shotsongoalfor</t>
  </si>
  <si>
    <t>missedshotsfor</t>
  </si>
  <si>
    <t>blockedshotattemptsfor</t>
  </si>
  <si>
    <t>shotattemptsagainst</t>
  </si>
  <si>
    <t>shotsongoalagainst</t>
  </si>
  <si>
    <t>missedshotsagainst</t>
  </si>
  <si>
    <t>blokedshotattemptsagainst</t>
  </si>
  <si>
    <t>penaltiesfor</t>
  </si>
  <si>
    <t>penalityminutesfor</t>
  </si>
  <si>
    <t>penaltiesagainst</t>
  </si>
  <si>
    <t>penalityminutesagainst</t>
  </si>
  <si>
    <t>lowdangershotsfor</t>
  </si>
  <si>
    <t>mediumdangershotsfor</t>
  </si>
  <si>
    <t>highdangershotsfor</t>
  </si>
  <si>
    <t>lowdangershotsagainst</t>
  </si>
  <si>
    <t>mediumdangershotsagainst</t>
  </si>
  <si>
    <t>highdangershotsagainst</t>
  </si>
  <si>
    <t>xgoalsfor</t>
  </si>
  <si>
    <t>xgoalsagainst</t>
  </si>
  <si>
    <t>goalsfor</t>
  </si>
  <si>
    <t>goalsagainst</t>
  </si>
  <si>
    <t>goalsfor/60</t>
  </si>
  <si>
    <t>goalsagainst/60</t>
  </si>
  <si>
    <t>Legenda:</t>
  </si>
  <si>
    <t xml:space="preserve">Number of games a player or team has participated in.                       </t>
  </si>
  <si>
    <t xml:space="preserve">Total minutes a player spends playing during games.                        </t>
  </si>
  <si>
    <t>Total shot attempts made by the team (including on goal)</t>
  </si>
  <si>
    <t xml:space="preserve">Shots directed at the opponent’s net that required a save or scored.        </t>
  </si>
  <si>
    <t xml:space="preserve">Shot attempts that missed the opponent’s net completely.                     </t>
  </si>
  <si>
    <t xml:space="preserve">Shot attempts blocked by opposing players before reaching the net.          </t>
  </si>
  <si>
    <t xml:space="preserve">Total shot attempts made by the opponent team.                              </t>
  </si>
  <si>
    <t xml:space="preserve">Shots by opponents that reached the net and required a save or scored.      </t>
  </si>
  <si>
    <t xml:space="preserve">Opponent shot attempts that missed the net completely.                      </t>
  </si>
  <si>
    <t xml:space="preserve">Opponent shot attempts blocked by your team before reaching the net.        </t>
  </si>
  <si>
    <t xml:space="preserve">Number of penalties committed by your team.                                 </t>
  </si>
  <si>
    <t xml:space="preserve">Total minutes your team spent serving penalties.                            </t>
  </si>
  <si>
    <t xml:space="preserve">Number of penalties committed by the opponent team.                         </t>
  </si>
  <si>
    <t xml:space="preserve">Total minutes the opponent team spent serving penalties.                     </t>
  </si>
  <si>
    <t xml:space="preserve">Shots from low-danger scoring areas by your team.                           </t>
  </si>
  <si>
    <t xml:space="preserve">Shots from medium-danger scoring areas by your team.                        </t>
  </si>
  <si>
    <t xml:space="preserve">Shots from high-danger scoring areas by your team.                          </t>
  </si>
  <si>
    <t xml:space="preserve">Opponent shots from low-danger scoring areas.                               </t>
  </si>
  <si>
    <t xml:space="preserve">Opponent shots from medium-danger scoring areas.                            </t>
  </si>
  <si>
    <t xml:space="preserve">Opponent shots from high-danger scoring areas.                              </t>
  </si>
  <si>
    <t xml:space="preserve">Expected goals for – statistical estimate of goals your team should score.  </t>
  </si>
  <si>
    <t xml:space="preserve">Expected goals against – estimate of goals opponents should score.           </t>
  </si>
  <si>
    <t xml:space="preserve">Actual goals scored by your team.                                           </t>
  </si>
  <si>
    <t xml:space="preserve">Actual goals scored by the opponent team.                                   </t>
  </si>
  <si>
    <t xml:space="preserve">Goals scored per 60 minutes of play (rate statistic).                       </t>
  </si>
  <si>
    <t>Goals allowed per 60 minutes of play</t>
  </si>
  <si>
    <t>Data</t>
  </si>
  <si>
    <t>name</t>
  </si>
  <si>
    <t>team</t>
  </si>
  <si>
    <t>SEA</t>
  </si>
  <si>
    <t>Anderson-Doughty</t>
  </si>
  <si>
    <t>LAK</t>
  </si>
  <si>
    <t>Skjei-Pesce</t>
  </si>
  <si>
    <t>CAR</t>
  </si>
  <si>
    <t>Slavin-Burns</t>
  </si>
  <si>
    <t>Miller-Trouba</t>
  </si>
  <si>
    <t>NYR</t>
  </si>
  <si>
    <t>Nurse-Ceci</t>
  </si>
  <si>
    <t>EDM</t>
  </si>
  <si>
    <t>MIN</t>
  </si>
  <si>
    <t>Siegenthaler-Hamilton</t>
  </si>
  <si>
    <t>NJD</t>
  </si>
  <si>
    <t>Leddy-Parayko</t>
  </si>
  <si>
    <t>STL</t>
  </si>
  <si>
    <t>Lindell-Hakanp</t>
  </si>
  <si>
    <t>DAL</t>
  </si>
  <si>
    <t>icetime</t>
  </si>
  <si>
    <t>time (min, sec)</t>
  </si>
  <si>
    <t>corsipercentage</t>
  </si>
  <si>
    <t>fenwickpercentage</t>
  </si>
  <si>
    <t>name, team</t>
  </si>
  <si>
    <t>1372 min 49 s</t>
  </si>
  <si>
    <t>Dunn-Larsson, SEA</t>
  </si>
  <si>
    <t>1312 min 13 s</t>
  </si>
  <si>
    <t>Anderson-Doughty, LAK</t>
  </si>
  <si>
    <t>1307 min 11 s</t>
  </si>
  <si>
    <t>Skjei-Pesce, CAR</t>
  </si>
  <si>
    <t>1194 min 1 s</t>
  </si>
  <si>
    <t>Slavin-Burns, CAR</t>
  </si>
  <si>
    <t>1120 min 2 s</t>
  </si>
  <si>
    <t>Miller-Trouba, NYR</t>
  </si>
  <si>
    <t>1084 min 20 s</t>
  </si>
  <si>
    <t>Nurse-Ceci, EDM</t>
  </si>
  <si>
    <t>1020 min 39 s</t>
  </si>
  <si>
    <t>Middleton-Spurgeon, MIN</t>
  </si>
  <si>
    <t>1019 min 13 s</t>
  </si>
  <si>
    <t>Siegenthaler-Hamilton, NJD</t>
  </si>
  <si>
    <t>996 min 1 s</t>
  </si>
  <si>
    <t>Leddy-Parayko, STL</t>
  </si>
  <si>
    <t>991 min 45 s</t>
  </si>
  <si>
    <t>Lindell-Hakanp, DAL</t>
  </si>
  <si>
    <t>totalshotsagainst</t>
  </si>
  <si>
    <t>total</t>
  </si>
  <si>
    <t>goalsfor/xgoalfor</t>
  </si>
  <si>
    <t>goalagainst/xgoalagainst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</si>
</sst>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"/>
    <numFmt numFmtId="165" formatCode="h&quot;:&quot;mm&quot;:&quot;ss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26.0"/>
      <color theme="1"/>
      <name val="Arial"/>
      <scheme val="minor"/>
    </font>
    <font/>
    <font>
      <b/>
      <sz val="23.0"/>
      <color theme="1"/>
      <name val="Arial"/>
      <scheme val="minor"/>
    </font>
    <font>
      <b/>
      <sz val="22.0"/>
      <color theme="1"/>
      <name val="Arial"/>
      <scheme val="minor"/>
    </font>
    <font>
      <b/>
      <sz val="21.0"/>
      <color theme="1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b/>
      <sz val="19.0"/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b/>
      <color rgb="FFFF00FF"/>
      <name val="Arial"/>
      <scheme val="minor"/>
    </font>
    <font>
      <b/>
      <color rgb="FF783F04"/>
      <name val="Arial"/>
      <scheme val="minor"/>
    </font>
    <font>
      <b/>
      <color rgb="FFE69138"/>
      <name val="Arial"/>
      <scheme val="minor"/>
    </font>
    <font>
      <b/>
      <color theme="7"/>
      <name val="Arial"/>
      <scheme val="minor"/>
    </font>
    <font>
      <b/>
      <color rgb="FF0000FF"/>
      <name val="Arial"/>
      <scheme val="minor"/>
    </font>
    <font>
      <b/>
      <color theme="6"/>
      <name val="Arial"/>
      <scheme val="minor"/>
    </font>
    <font>
      <strike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Border="1" applyFont="1"/>
    <xf borderId="1" fillId="0" fontId="8" numFmtId="164" xfId="0" applyBorder="1" applyFont="1" applyNumberFormat="1"/>
    <xf borderId="1" fillId="0" fontId="8" numFmtId="165" xfId="0" applyBorder="1" applyFont="1" applyNumberFormat="1"/>
    <xf borderId="1" fillId="0" fontId="8" numFmtId="2" xfId="0" applyBorder="1" applyFont="1" applyNumberFormat="1"/>
    <xf borderId="0" fillId="3" fontId="9" numFmtId="0" xfId="0" applyAlignment="1" applyFont="1">
      <alignment horizontal="center" readingOrder="0" vertical="center"/>
    </xf>
    <xf borderId="1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2" fillId="0" fontId="10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0" fillId="3" fontId="6" numFmtId="0" xfId="0" applyAlignment="1" applyFont="1">
      <alignment horizontal="center" readingOrder="0" vertical="center"/>
    </xf>
    <xf borderId="4" fillId="0" fontId="11" numFmtId="0" xfId="0" applyAlignment="1" applyBorder="1" applyFont="1">
      <alignment readingOrder="0"/>
    </xf>
    <xf borderId="4" fillId="0" fontId="11" numFmtId="165" xfId="0" applyAlignment="1" applyBorder="1" applyFont="1" applyNumberFormat="1">
      <alignment readingOrder="0"/>
    </xf>
    <xf borderId="4" fillId="0" fontId="11" numFmtId="164" xfId="0" applyAlignment="1" applyBorder="1" applyFont="1" applyNumberFormat="1">
      <alignment readingOrder="0"/>
    </xf>
    <xf borderId="4" fillId="0" fontId="12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4" fillId="0" fontId="14" numFmtId="0" xfId="0" applyAlignment="1" applyBorder="1" applyFont="1">
      <alignment readingOrder="0"/>
    </xf>
    <xf borderId="4" fillId="0" fontId="15" numFmtId="0" xfId="0" applyAlignment="1" applyBorder="1" applyFont="1">
      <alignment readingOrder="0"/>
    </xf>
    <xf borderId="4" fillId="0" fontId="16" numFmtId="0" xfId="0" applyAlignment="1" applyBorder="1" applyFont="1">
      <alignment readingOrder="0"/>
    </xf>
    <xf borderId="4" fillId="0" fontId="17" numFmtId="0" xfId="0" applyAlignment="1" applyBorder="1" applyFont="1">
      <alignment readingOrder="0"/>
    </xf>
    <xf borderId="4" fillId="0" fontId="12" numFmtId="4" xfId="0" applyBorder="1" applyFont="1" applyNumberFormat="1"/>
    <xf borderId="0" fillId="0" fontId="1" numFmtId="9" xfId="0" applyAlignment="1" applyFont="1" applyNumberFormat="1">
      <alignment readingOrder="0"/>
    </xf>
    <xf borderId="4" fillId="0" fontId="17" numFmtId="2" xfId="0" applyAlignment="1" applyBorder="1" applyFont="1" applyNumberFormat="1">
      <alignment readingOrder="0"/>
    </xf>
    <xf borderId="4" fillId="0" fontId="11" numFmtId="0" xfId="0" applyAlignment="1" applyBorder="1" applyFont="1">
      <alignment horizontal="center" readingOrder="0"/>
    </xf>
    <xf borderId="4" fillId="0" fontId="11" numFmtId="4" xfId="0" applyAlignment="1" applyBorder="1" applyFont="1" applyNumberFormat="1">
      <alignment horizontal="center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4" fillId="0" fontId="18" numFmtId="0" xfId="0" applyAlignment="1" applyBorder="1" applyFont="1">
      <alignment horizontal="center" readingOrder="0"/>
    </xf>
    <xf borderId="0" fillId="0" fontId="1" numFmtId="4" xfId="0" applyFont="1" applyNumberFormat="1"/>
    <xf borderId="0" fillId="0" fontId="1" numFmtId="10" xfId="0" applyAlignment="1" applyFont="1" applyNumberFormat="1">
      <alignment readingOrder="0"/>
    </xf>
    <xf borderId="4" fillId="0" fontId="13" numFmtId="10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10" xfId="0" applyAlignment="1" applyBorder="1" applyFont="1" applyNumberFormat="1">
      <alignment readingOrder="0"/>
    </xf>
    <xf borderId="0" fillId="0" fontId="1" numFmtId="0" xfId="0" applyFont="1"/>
    <xf borderId="4" fillId="0" fontId="16" numFmtId="10" xfId="0" applyAlignment="1" applyBorder="1" applyFont="1" applyNumberFormat="1">
      <alignment readingOrder="0"/>
    </xf>
    <xf borderId="0" fillId="0" fontId="1" numFmtId="10" xfId="0" applyFont="1" applyNumberFormat="1"/>
    <xf borderId="4" fillId="0" fontId="1" numFmtId="2" xfId="0" applyAlignment="1" applyBorder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Dman pairs based on icetime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'D-man top 10'!$G$16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10'!$F$17:$F$26</c:f>
            </c:strRef>
          </c:cat>
          <c:val>
            <c:numRef>
              <c:f>'D-man top 10'!$G$17:$G$26</c:f>
              <c:numCache/>
            </c:numRef>
          </c:val>
        </c:ser>
        <c:axId val="962255000"/>
        <c:axId val="1024131575"/>
      </c:barChart>
      <c:catAx>
        <c:axId val="962255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131575"/>
      </c:catAx>
      <c:valAx>
        <c:axId val="1024131575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255000"/>
      </c:valAx>
      <c:lineChart>
        <c:varyColors val="0"/>
        <c:ser>
          <c:idx val="0"/>
          <c:order val="0"/>
          <c:tx>
            <c:strRef>
              <c:f>'D-man top 10'!$H$16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9"/>
            <c:marker>
              <c:symbol val="none"/>
            </c:marker>
          </c:dPt>
          <c:dLbls>
            <c:numFmt formatCode="h&quot;:&quot;mm&quot;:&quot;ss" sourceLinked="0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Verdan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10'!$F$17:$F$26</c:f>
            </c:strRef>
          </c:cat>
          <c:val>
            <c:numRef>
              <c:f>'D-man top 10'!$H$17:$H$26</c:f>
              <c:numCache/>
            </c:numRef>
          </c:val>
          <c:smooth val="0"/>
        </c:ser>
        <c:axId val="682540151"/>
        <c:axId val="146682968"/>
      </c:lineChart>
      <c:catAx>
        <c:axId val="682540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82968"/>
      </c:catAx>
      <c:valAx>
        <c:axId val="1466829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54015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Total attemptsfor in % - shotsongoal, missedshots a blockedshotattempts</a:t>
            </a:r>
          </a:p>
        </c:rich>
      </c:tx>
      <c:layout>
        <c:manualLayout>
          <c:xMode val="edge"/>
          <c:yMode val="edge"/>
          <c:x val="0.032098214285714285"/>
          <c:y val="0.05"/>
        </c:manualLayout>
      </c:layout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'D-man top 10'!$H$29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10'!$A$30:$A$39</c:f>
            </c:strRef>
          </c:cat>
          <c:val>
            <c:numRef>
              <c:f>'D-man top 10'!$H$30:$H$39</c:f>
              <c:numCache/>
            </c:numRef>
          </c:val>
        </c:ser>
        <c:ser>
          <c:idx val="1"/>
          <c:order val="1"/>
          <c:tx>
            <c:strRef>
              <c:f>'D-man top 10'!$I$29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10'!$A$30:$A$39</c:f>
            </c:strRef>
          </c:cat>
          <c:val>
            <c:numRef>
              <c:f>'D-man top 10'!$I$30:$I$39</c:f>
              <c:numCache/>
            </c:numRef>
          </c:val>
        </c:ser>
        <c:ser>
          <c:idx val="2"/>
          <c:order val="2"/>
          <c:tx>
            <c:strRef>
              <c:f>'D-man top 10'!$J$29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10'!$A$30:$A$39</c:f>
            </c:strRef>
          </c:cat>
          <c:val>
            <c:numRef>
              <c:f>'D-man top 10'!$J$30:$J$39</c:f>
              <c:numCache/>
            </c:numRef>
          </c:val>
        </c:ser>
        <c:overlap val="100"/>
        <c:axId val="1503373159"/>
        <c:axId val="298297618"/>
      </c:barChart>
      <c:catAx>
        <c:axId val="15033731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297618"/>
      </c:catAx>
      <c:valAx>
        <c:axId val="2982976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3731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Total amount attemptsagainst - shotsongoal, missedshots a blokedshotattempts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'D-man top 10'!$D$53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10'!$D$54:$D$63</c:f>
              <c:numCache/>
            </c:numRef>
          </c:val>
        </c:ser>
        <c:ser>
          <c:idx val="1"/>
          <c:order val="1"/>
          <c:tx>
            <c:strRef>
              <c:f>'D-man top 10'!$E$53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10'!$E$54:$E$63</c:f>
              <c:numCache/>
            </c:numRef>
          </c:val>
        </c:ser>
        <c:ser>
          <c:idx val="2"/>
          <c:order val="2"/>
          <c:tx>
            <c:strRef>
              <c:f>'D-man top 10'!$F$53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10'!$F$54:$F$63</c:f>
              <c:numCache/>
            </c:numRef>
          </c:val>
        </c:ser>
        <c:overlap val="100"/>
        <c:axId val="252801639"/>
        <c:axId val="1761670979"/>
      </c:barChart>
      <c:catAx>
        <c:axId val="2528016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670979"/>
      </c:catAx>
      <c:valAx>
        <c:axId val="17616709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8016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Total attemptsagainst in % - shotsongoal, missedshots a blockedshotattempts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'D-man top 10'!$H$53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10'!$H$54:$H$63</c:f>
              <c:numCache/>
            </c:numRef>
          </c:val>
        </c:ser>
        <c:ser>
          <c:idx val="1"/>
          <c:order val="1"/>
          <c:tx>
            <c:strRef>
              <c:f>'D-man top 10'!$I$53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10'!$I$54:$I$63</c:f>
              <c:numCache/>
            </c:numRef>
          </c:val>
        </c:ser>
        <c:ser>
          <c:idx val="2"/>
          <c:order val="2"/>
          <c:tx>
            <c:strRef>
              <c:f>'D-man top 10'!$J$53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10'!$J$54:$J$63</c:f>
              <c:numCache/>
            </c:numRef>
          </c:val>
        </c:ser>
        <c:overlap val="100"/>
        <c:axId val="121270904"/>
        <c:axId val="2147202448"/>
      </c:barChart>
      <c:catAx>
        <c:axId val="1212709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202448"/>
      </c:catAx>
      <c:valAx>
        <c:axId val="21472024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709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Comparison xgoalagainst vs. goalagainst; goalagainst/60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'D-man top 10'!$A$101</c:f>
            </c:strRef>
          </c:tx>
          <c:spPr>
            <a:solidFill>
              <a:srgbClr val="6D9EEB"/>
            </a:solidFill>
            <a:ln cmpd="sng" w="76200">
              <a:solidFill>
                <a:srgbClr val="6D9EEB">
                  <a:alpha val="100000"/>
                </a:srgbClr>
              </a:solidFill>
            </a:ln>
          </c:spPr>
          <c:dPt>
            <c:idx val="0"/>
          </c:dPt>
          <c:dPt>
            <c:idx val="4"/>
          </c:dPt>
          <c:dLbls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10'!$A$102:$A$111</c:f>
            </c:strRef>
          </c:cat>
          <c:val>
            <c:numRef>
              <c:f>'D-man top 10'!$A$102:$A$111</c:f>
              <c:numCache/>
            </c:numRef>
          </c:val>
        </c:ser>
        <c:ser>
          <c:idx val="2"/>
          <c:order val="2"/>
          <c:tx>
            <c:strRef>
              <c:f>'D-man top 10'!$D$101</c:f>
            </c:strRef>
          </c:tx>
          <c:spPr>
            <a:solidFill>
              <a:srgbClr val="6AA84F"/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10'!$A$102:$A$111</c:f>
            </c:strRef>
          </c:cat>
          <c:val>
            <c:numRef>
              <c:f>'D-man top 10'!$D$102:$D$111</c:f>
              <c:numCache/>
            </c:numRef>
          </c:val>
        </c:ser>
        <c:axId val="228508675"/>
        <c:axId val="1327222529"/>
      </c:barChart>
      <c:catAx>
        <c:axId val="228508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222529"/>
      </c:catAx>
      <c:valAx>
        <c:axId val="1327222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508675"/>
      </c:valAx>
      <c:lineChart>
        <c:varyColors val="0"/>
        <c:ser>
          <c:idx val="0"/>
          <c:order val="0"/>
          <c:tx>
            <c:strRef>
              <c:f>'D-man top 10'!$H$101</c:f>
            </c:strRef>
          </c:tx>
          <c:spPr>
            <a:ln cmpd="sng" w="19050">
              <a:solidFill>
                <a:srgbClr val="741B4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741B47">
                  <a:alpha val="100000"/>
                </a:srgbClr>
              </a:solidFill>
              <a:ln cmpd="sng">
                <a:solidFill>
                  <a:srgbClr val="741B47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10'!$A$102:$A$111</c:f>
            </c:strRef>
          </c:cat>
          <c:val>
            <c:numRef>
              <c:f>'D-man top 10'!$H$102:$H$111</c:f>
              <c:numCache/>
            </c:numRef>
          </c:val>
          <c:smooth val="0"/>
        </c:ser>
        <c:axId val="1261658385"/>
        <c:axId val="1119169235"/>
      </c:lineChart>
      <c:catAx>
        <c:axId val="12616583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169235"/>
      </c:catAx>
      <c:valAx>
        <c:axId val="1119169235"/>
        <c:scaling>
          <c:orientation val="minMax"/>
          <c:max val="3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65838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lowdangershotsagainst, mediumdangershotsagainst, highdangershotsagainst a 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'D-man top 10'!$F$77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10'!$A$78:$A$87</c:f>
            </c:strRef>
          </c:cat>
          <c:val>
            <c:numRef>
              <c:f>'D-man top 10'!$F$78:$F$87</c:f>
              <c:numCache/>
            </c:numRef>
          </c:val>
        </c:ser>
        <c:ser>
          <c:idx val="1"/>
          <c:order val="1"/>
          <c:tx>
            <c:strRef>
              <c:f>'D-man top 10'!$C$77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10'!$A$78:$A$87</c:f>
            </c:strRef>
          </c:cat>
          <c:val>
            <c:numRef>
              <c:f>'D-man top 10'!$C$78:$C$87</c:f>
              <c:numCache/>
            </c:numRef>
          </c:val>
        </c:ser>
        <c:ser>
          <c:idx val="2"/>
          <c:order val="2"/>
          <c:tx>
            <c:strRef>
              <c:f>'D-man top 10'!$D$77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10'!$A$78:$A$87</c:f>
            </c:strRef>
          </c:cat>
          <c:val>
            <c:numRef>
              <c:f>'D-man top 10'!$D$78:$D$87</c:f>
              <c:numCache/>
            </c:numRef>
          </c:val>
        </c:ser>
        <c:ser>
          <c:idx val="3"/>
          <c:order val="3"/>
          <c:tx>
            <c:strRef>
              <c:f>'D-man top 10'!$E$77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10'!$A$78:$A$87</c:f>
            </c:strRef>
          </c:cat>
          <c:val>
            <c:numRef>
              <c:f>'D-man top 10'!$E$78:$E$87</c:f>
              <c:numCache/>
            </c:numRef>
          </c:val>
        </c:ser>
        <c:axId val="884858285"/>
        <c:axId val="1388286611"/>
      </c:barChart>
      <c:catAx>
        <c:axId val="884858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286611"/>
      </c:catAx>
      <c:valAx>
        <c:axId val="1388286611"/>
        <c:scaling>
          <c:orientation val="minMax"/>
          <c:max val="8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8582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shotsongoalfor, missedshotsfor a blockedshotattemptsfor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'D-man top 10'!$H$29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10'!$A$30:$A$39</c:f>
            </c:strRef>
          </c:cat>
          <c:val>
            <c:numRef>
              <c:f>'D-man top 10'!$H$30:$H$39</c:f>
              <c:numCache/>
            </c:numRef>
          </c:val>
        </c:ser>
        <c:ser>
          <c:idx val="1"/>
          <c:order val="1"/>
          <c:tx>
            <c:strRef>
              <c:f>'D-man top 10'!$I$29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10'!$A$30:$A$39</c:f>
            </c:strRef>
          </c:cat>
          <c:val>
            <c:numRef>
              <c:f>'D-man top 10'!$I$30:$I$39</c:f>
              <c:numCache/>
            </c:numRef>
          </c:val>
        </c:ser>
        <c:ser>
          <c:idx val="2"/>
          <c:order val="2"/>
          <c:tx>
            <c:strRef>
              <c:f>'D-man top 10'!$J$29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10'!$A$30:$A$39</c:f>
            </c:strRef>
          </c:cat>
          <c:val>
            <c:numRef>
              <c:f>'D-man top 10'!$J$30:$J$39</c:f>
              <c:numCache/>
            </c:numRef>
          </c:val>
        </c:ser>
        <c:overlap val="100"/>
        <c:axId val="788866013"/>
        <c:axId val="1880574974"/>
      </c:barChart>
      <c:catAx>
        <c:axId val="7888660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574974"/>
      </c:catAx>
      <c:valAx>
        <c:axId val="18805749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8660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shotattemptsagainst, shotsongoalagainst, missedshotsagainst a blokedshotattemptsagainst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'D-man top 10'!$D$53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10'!$D$54:$D$63</c:f>
              <c:numCache/>
            </c:numRef>
          </c:val>
        </c:ser>
        <c:ser>
          <c:idx val="1"/>
          <c:order val="1"/>
          <c:tx>
            <c:strRef>
              <c:f>'D-man top 10'!$E$53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10'!$E$54:$E$63</c:f>
              <c:numCache/>
            </c:numRef>
          </c:val>
        </c:ser>
        <c:ser>
          <c:idx val="2"/>
          <c:order val="2"/>
          <c:tx>
            <c:strRef>
              <c:f>'D-man top 10'!$F$53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10'!$F$54:$F$63</c:f>
              <c:numCache/>
            </c:numRef>
          </c:val>
        </c:ser>
        <c:overlap val="100"/>
        <c:axId val="1970840681"/>
        <c:axId val="1584549146"/>
      </c:barChart>
      <c:catAx>
        <c:axId val="19708406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549146"/>
      </c:catAx>
      <c:valAx>
        <c:axId val="15845491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8406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shotsongoalagainst, missedshotsagainst a blokedshotattemptsagainst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'D-man top 10'!$H$53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10'!$H$54:$H$63</c:f>
              <c:numCache/>
            </c:numRef>
          </c:val>
        </c:ser>
        <c:ser>
          <c:idx val="1"/>
          <c:order val="1"/>
          <c:tx>
            <c:strRef>
              <c:f>'D-man top 10'!$I$53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10'!$I$54:$I$63</c:f>
              <c:numCache/>
            </c:numRef>
          </c:val>
        </c:ser>
        <c:ser>
          <c:idx val="2"/>
          <c:order val="2"/>
          <c:tx>
            <c:strRef>
              <c:f>'D-man top 10'!$J$53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10'!$A$54:$A$63</c:f>
            </c:strRef>
          </c:cat>
          <c:val>
            <c:numRef>
              <c:f>'D-man top 10'!$J$54:$J$63</c:f>
              <c:numCache/>
            </c:numRef>
          </c:val>
        </c:ser>
        <c:overlap val="100"/>
        <c:axId val="1352807120"/>
        <c:axId val="49932888"/>
      </c:barChart>
      <c:catAx>
        <c:axId val="1352807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32888"/>
      </c:catAx>
      <c:valAx>
        <c:axId val="499328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8071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1"/>
          <c:order val="1"/>
          <c:tx>
            <c:strRef>
              <c:f>'D-man top 10'!$A$101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10'!$A$102:$A$111</c:f>
            </c:strRef>
          </c:cat>
          <c:val>
            <c:numRef>
              <c:f>'D-man top 10'!$A$102:$A$111</c:f>
              <c:numCache/>
            </c:numRef>
          </c:val>
        </c:ser>
        <c:ser>
          <c:idx val="2"/>
          <c:order val="2"/>
          <c:tx>
            <c:strRef>
              <c:f>'D-man top 10'!$D$101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10'!$A$102:$A$111</c:f>
            </c:strRef>
          </c:cat>
          <c:val>
            <c:numRef>
              <c:f>'D-man top 10'!$D$102:$D$111</c:f>
              <c:numCache/>
            </c:numRef>
          </c:val>
        </c:ser>
        <c:axId val="1264818206"/>
        <c:axId val="159561764"/>
      </c:barChart>
      <c:catAx>
        <c:axId val="1264818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61764"/>
      </c:catAx>
      <c:valAx>
        <c:axId val="159561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818206"/>
      </c:valAx>
      <c:lineChart>
        <c:varyColors val="0"/>
        <c:ser>
          <c:idx val="0"/>
          <c:order val="0"/>
          <c:tx>
            <c:strRef>
              <c:f>'D-man top 10'!$H$101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10'!$A$102:$A$111</c:f>
            </c:strRef>
          </c:cat>
          <c:val>
            <c:numRef>
              <c:f>'D-man top 10'!$H$102:$H$111</c:f>
              <c:numCache/>
            </c:numRef>
          </c:val>
          <c:smooth val="0"/>
        </c:ser>
        <c:axId val="1102787108"/>
        <c:axId val="1226742231"/>
      </c:lineChart>
      <c:catAx>
        <c:axId val="11027871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742231"/>
      </c:catAx>
      <c:valAx>
        <c:axId val="1226742231"/>
        <c:scaling>
          <c:orientation val="minMax"/>
          <c:max val="3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7871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10 Dman pairs based on icetime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'D-man top 10'!$G$16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10'!$F$17:$F$26</c:f>
            </c:strRef>
          </c:cat>
          <c:val>
            <c:numRef>
              <c:f>'D-man top 10'!$G$17:$G$26</c:f>
              <c:numCache/>
            </c:numRef>
          </c:val>
        </c:ser>
        <c:axId val="708542326"/>
        <c:axId val="1403040138"/>
      </c:barChart>
      <c:catAx>
        <c:axId val="708542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040138"/>
      </c:catAx>
      <c:valAx>
        <c:axId val="1403040138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542326"/>
      </c:valAx>
      <c:lineChart>
        <c:varyColors val="0"/>
        <c:ser>
          <c:idx val="0"/>
          <c:order val="0"/>
          <c:tx>
            <c:strRef>
              <c:f>'D-man top 10'!$H$16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Lbls>
            <c:numFmt formatCode="h&quot;:&quot;mm&quot;:&quot;ss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10'!$F$17:$F$26</c:f>
            </c:strRef>
          </c:cat>
          <c:val>
            <c:numRef>
              <c:f>'D-man top 10'!$H$17:$H$26</c:f>
              <c:numCache/>
            </c:numRef>
          </c:val>
          <c:smooth val="0"/>
        </c:ser>
        <c:axId val="1849431620"/>
        <c:axId val="702668337"/>
      </c:lineChart>
      <c:catAx>
        <c:axId val="18494316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668337"/>
      </c:catAx>
      <c:valAx>
        <c:axId val="7026683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43162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lowdangershotsagainst, mediumdangershotsagainst, highdangershotsagainst a 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'D-man top 10'!$F$77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10'!$A$78:$A$87</c:f>
            </c:strRef>
          </c:cat>
          <c:val>
            <c:numRef>
              <c:f>'D-man top 10'!$F$78:$F$87</c:f>
              <c:numCache/>
            </c:numRef>
          </c:val>
        </c:ser>
        <c:ser>
          <c:idx val="1"/>
          <c:order val="1"/>
          <c:tx>
            <c:strRef>
              <c:f>'D-man top 10'!$C$77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10'!$A$78:$A$87</c:f>
            </c:strRef>
          </c:cat>
          <c:val>
            <c:numRef>
              <c:f>'D-man top 10'!$C$78:$C$87</c:f>
              <c:numCache/>
            </c:numRef>
          </c:val>
        </c:ser>
        <c:ser>
          <c:idx val="2"/>
          <c:order val="2"/>
          <c:tx>
            <c:strRef>
              <c:f>'D-man top 10'!$D$77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10'!$A$78:$A$87</c:f>
            </c:strRef>
          </c:cat>
          <c:val>
            <c:numRef>
              <c:f>'D-man top 10'!$D$78:$D$87</c:f>
              <c:numCache/>
            </c:numRef>
          </c:val>
        </c:ser>
        <c:ser>
          <c:idx val="3"/>
          <c:order val="3"/>
          <c:tx>
            <c:strRef>
              <c:f>'D-man top 10'!$E$77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'D-man top 10'!$A$78:$A$87</c:f>
            </c:strRef>
          </c:cat>
          <c:val>
            <c:numRef>
              <c:f>'D-man top 10'!$E$78:$E$87</c:f>
              <c:numCache/>
            </c:numRef>
          </c:val>
        </c:ser>
        <c:axId val="1805671210"/>
        <c:axId val="547736222"/>
      </c:barChart>
      <c:catAx>
        <c:axId val="1805671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736222"/>
      </c:catAx>
      <c:valAx>
        <c:axId val="547736222"/>
        <c:scaling>
          <c:orientation val="minMax"/>
          <c:max val="8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67121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1</xdr:row>
      <xdr:rowOff>9525</xdr:rowOff>
    </xdr:from>
    <xdr:ext cx="10772775" cy="6753225"/>
    <xdr:graphicFrame>
      <xdr:nvGraphicFramePr>
        <xdr:cNvPr id="1" name="Chart 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923925</xdr:colOff>
      <xdr:row>66</xdr:row>
      <xdr:rowOff>161925</xdr:rowOff>
    </xdr:from>
    <xdr:ext cx="10772775" cy="6696075"/>
    <xdr:pic>
      <xdr:nvPicPr>
        <xdr:cNvPr id="2090773598" name="Chart2" title="Graf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66</xdr:row>
      <xdr:rowOff>161925</xdr:rowOff>
    </xdr:from>
    <xdr:ext cx="10772775" cy="6696075"/>
    <xdr:graphicFrame>
      <xdr:nvGraphicFramePr>
        <xdr:cNvPr id="3" name="Chart 3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923925</xdr:colOff>
      <xdr:row>34</xdr:row>
      <xdr:rowOff>171450</xdr:rowOff>
    </xdr:from>
    <xdr:ext cx="10772775" cy="6496050"/>
    <xdr:graphicFrame>
      <xdr:nvGraphicFramePr>
        <xdr:cNvPr id="4" name="Chart 4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114300</xdr:colOff>
      <xdr:row>34</xdr:row>
      <xdr:rowOff>9525</xdr:rowOff>
    </xdr:from>
    <xdr:ext cx="10772775" cy="6657975"/>
    <xdr:graphicFrame>
      <xdr:nvGraphicFramePr>
        <xdr:cNvPr id="5" name="Chart 5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114300</xdr:colOff>
      <xdr:row>1</xdr:row>
      <xdr:rowOff>9525</xdr:rowOff>
    </xdr:from>
    <xdr:ext cx="10772775" cy="6696075"/>
    <xdr:graphicFrame>
      <xdr:nvGraphicFramePr>
        <xdr:cNvPr id="6" name="Chart 6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923925</xdr:colOff>
      <xdr:row>99</xdr:row>
      <xdr:rowOff>152400</xdr:rowOff>
    </xdr:from>
    <xdr:ext cx="21516975" cy="7286625"/>
    <xdr:graphicFrame>
      <xdr:nvGraphicFramePr>
        <xdr:cNvPr id="7" name="Chart 7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361950</xdr:colOff>
      <xdr:row>23</xdr:row>
      <xdr:rowOff>95250</xdr:rowOff>
    </xdr:from>
    <xdr:ext cx="6677025" cy="4124325"/>
    <xdr:pic>
      <xdr:nvPicPr>
        <xdr:cNvPr id="466620031" name="Chart8" title="Graf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23</xdr:row>
      <xdr:rowOff>95250</xdr:rowOff>
    </xdr:from>
    <xdr:ext cx="6629400" cy="4124325"/>
    <xdr:graphicFrame>
      <xdr:nvGraphicFramePr>
        <xdr:cNvPr id="9" name="Chart 9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419100</xdr:colOff>
      <xdr:row>49</xdr:row>
      <xdr:rowOff>9525</xdr:rowOff>
    </xdr:from>
    <xdr:ext cx="5715000" cy="3533775"/>
    <xdr:graphicFrame>
      <xdr:nvGraphicFramePr>
        <xdr:cNvPr id="10" name="Chart 10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942975</xdr:colOff>
      <xdr:row>49</xdr:row>
      <xdr:rowOff>9525</xdr:rowOff>
    </xdr:from>
    <xdr:ext cx="5715000" cy="3533775"/>
    <xdr:graphicFrame>
      <xdr:nvGraphicFramePr>
        <xdr:cNvPr id="11" name="Chart 1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504825</xdr:colOff>
      <xdr:row>98</xdr:row>
      <xdr:rowOff>142875</xdr:rowOff>
    </xdr:from>
    <xdr:ext cx="11496675" cy="3533775"/>
    <xdr:graphicFrame>
      <xdr:nvGraphicFramePr>
        <xdr:cNvPr id="12" name="Chart 12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1209675</xdr:colOff>
      <xdr:row>0</xdr:row>
      <xdr:rowOff>0</xdr:rowOff>
    </xdr:from>
    <xdr:ext cx="7581900" cy="5057775"/>
    <xdr:graphicFrame>
      <xdr:nvGraphicFramePr>
        <xdr:cNvPr id="13" name="Chart 13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504825</xdr:colOff>
      <xdr:row>67</xdr:row>
      <xdr:rowOff>0</xdr:rowOff>
    </xdr:from>
    <xdr:ext cx="15116175" cy="7286625"/>
    <xdr:graphicFrame>
      <xdr:nvGraphicFramePr>
        <xdr:cNvPr id="14" name="Chart 14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4" max="24" width="11.25"/>
  </cols>
  <sheetData>
    <row r="1" ht="54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138" ht="33.0" customHeight="1">
      <c r="B138" s="5" t="s">
        <v>1</v>
      </c>
    </row>
    <row r="139" ht="34.5" customHeight="1">
      <c r="D139" s="6" t="s">
        <v>2</v>
      </c>
      <c r="H139" s="7" t="str">
        <f>VLOOKUP(D139,'D-man top 10'!$A$2:$B$11,2,FALSE)</f>
        <v>MIN</v>
      </c>
      <c r="L139" s="6" t="s">
        <v>3</v>
      </c>
      <c r="P139" s="8" t="str">
        <f>VLOOKUP(L139,'D-man top 10'!$A$2:$B$11,2,FALSE)</f>
        <v>SEA</v>
      </c>
      <c r="U139" s="9" t="s">
        <v>4</v>
      </c>
    </row>
    <row r="140">
      <c r="D140" s="10" t="s">
        <v>5</v>
      </c>
      <c r="E140" s="3"/>
      <c r="F140" s="3"/>
      <c r="G140" s="4"/>
      <c r="H140" s="11">
        <f>VLOOKUP($D$139,'D-man top 10'!$A$123:$AB$133,3,FALSE)</f>
        <v>76</v>
      </c>
      <c r="I140" s="4"/>
      <c r="L140" s="10" t="s">
        <v>5</v>
      </c>
      <c r="M140" s="3"/>
      <c r="N140" s="3"/>
      <c r="O140" s="4"/>
      <c r="P140" s="11">
        <f>VLOOKUP($L$139,'D-man top 10'!$A$123:$AB$133,3,FALSE)</f>
        <v>81</v>
      </c>
      <c r="Q140" s="4"/>
    </row>
    <row r="141">
      <c r="D141" s="10" t="s">
        <v>6</v>
      </c>
      <c r="E141" s="3"/>
      <c r="F141" s="3"/>
      <c r="G141" s="4"/>
      <c r="H141" s="12">
        <f>VLOOKUP($D$139,'D-man top 10'!$A$123:$AB$133,4,FALSE)</f>
        <v>0.7087847222</v>
      </c>
      <c r="I141" s="4"/>
      <c r="L141" s="10" t="s">
        <v>6</v>
      </c>
      <c r="M141" s="3"/>
      <c r="N141" s="3"/>
      <c r="O141" s="4"/>
      <c r="P141" s="13">
        <f>VLOOKUP($L$139,'D-man top 10'!$A$123:$AB$133,4,FALSE)</f>
        <v>0.9533449074</v>
      </c>
      <c r="Q141" s="4"/>
    </row>
    <row r="142">
      <c r="D142" s="10" t="s">
        <v>7</v>
      </c>
      <c r="E142" s="3"/>
      <c r="F142" s="3"/>
      <c r="G142" s="4"/>
      <c r="H142" s="11">
        <f>VLOOKUP($D$139,'D-man top 10'!$A$123:$AB$133,5,FALSE)</f>
        <v>976</v>
      </c>
      <c r="I142" s="4"/>
      <c r="L142" s="10" t="s">
        <v>7</v>
      </c>
      <c r="M142" s="3"/>
      <c r="N142" s="3"/>
      <c r="O142" s="4"/>
      <c r="P142" s="11">
        <f>VLOOKUP($L$139,'D-man top 10'!$A$123:$AB$133,5,FALSE)</f>
        <v>1377</v>
      </c>
      <c r="Q142" s="4"/>
    </row>
    <row r="143">
      <c r="D143" s="10" t="s">
        <v>8</v>
      </c>
      <c r="E143" s="3"/>
      <c r="F143" s="3"/>
      <c r="G143" s="4"/>
      <c r="H143" s="11">
        <f>VLOOKUP($D$139,'D-man top 10'!$A$123:$AB$133,6,FALSE)</f>
        <v>476</v>
      </c>
      <c r="I143" s="4"/>
      <c r="L143" s="10" t="s">
        <v>8</v>
      </c>
      <c r="M143" s="3"/>
      <c r="N143" s="3"/>
      <c r="O143" s="4"/>
      <c r="P143" s="11">
        <f>VLOOKUP($L$139,'D-man top 10'!$A$123:$AB$133,6,FALSE)</f>
        <v>701</v>
      </c>
      <c r="Q143" s="4"/>
    </row>
    <row r="144">
      <c r="D144" s="10" t="s">
        <v>9</v>
      </c>
      <c r="E144" s="3"/>
      <c r="F144" s="3"/>
      <c r="G144" s="4"/>
      <c r="H144" s="11">
        <f>VLOOKUP($D$139,'D-man top 10'!$A$123:$AB$133,7,FALSE)</f>
        <v>240</v>
      </c>
      <c r="I144" s="4"/>
      <c r="L144" s="10" t="s">
        <v>9</v>
      </c>
      <c r="M144" s="3"/>
      <c r="N144" s="3"/>
      <c r="O144" s="4"/>
      <c r="P144" s="11">
        <f>VLOOKUP($L$139,'D-man top 10'!$A$123:$AB$133,7,FALSE)</f>
        <v>335</v>
      </c>
      <c r="Q144" s="4"/>
    </row>
    <row r="145">
      <c r="D145" s="10" t="s">
        <v>10</v>
      </c>
      <c r="E145" s="3"/>
      <c r="F145" s="3"/>
      <c r="G145" s="4"/>
      <c r="H145" s="11">
        <f>VLOOKUP($D$139,'D-man top 10'!$A$123:$AB$133,8,FALSE)</f>
        <v>260</v>
      </c>
      <c r="I145" s="4"/>
      <c r="L145" s="10" t="s">
        <v>10</v>
      </c>
      <c r="M145" s="3"/>
      <c r="N145" s="3"/>
      <c r="O145" s="4"/>
      <c r="P145" s="11">
        <f>VLOOKUP($L$139,'D-man top 10'!$A$123:$AB$133,8,FALSE)</f>
        <v>341</v>
      </c>
      <c r="Q145" s="4"/>
    </row>
    <row r="146">
      <c r="D146" s="10" t="s">
        <v>11</v>
      </c>
      <c r="E146" s="3"/>
      <c r="F146" s="3"/>
      <c r="G146" s="4"/>
      <c r="H146" s="11">
        <f>VLOOKUP($D$139,'D-man top 10'!$A$123:$AB$133,9,FALSE)</f>
        <v>985</v>
      </c>
      <c r="I146" s="4"/>
      <c r="L146" s="10" t="s">
        <v>11</v>
      </c>
      <c r="M146" s="3"/>
      <c r="N146" s="3"/>
      <c r="O146" s="4"/>
      <c r="P146" s="11">
        <f>VLOOKUP($L$139,'D-man top 10'!$A$123:$AB$133,9,FALSE)</f>
        <v>1148</v>
      </c>
      <c r="Q146" s="4"/>
    </row>
    <row r="147">
      <c r="D147" s="10" t="s">
        <v>12</v>
      </c>
      <c r="E147" s="3"/>
      <c r="F147" s="3"/>
      <c r="G147" s="4"/>
      <c r="H147" s="11">
        <f>VLOOKUP($D$139,'D-man top 10'!$A$123:$AB$133,10,FALSE)</f>
        <v>474</v>
      </c>
      <c r="I147" s="4"/>
      <c r="L147" s="10" t="s">
        <v>12</v>
      </c>
      <c r="M147" s="3"/>
      <c r="N147" s="3"/>
      <c r="O147" s="4"/>
      <c r="P147" s="11">
        <f>VLOOKUP($L$139,'D-man top 10'!$A$123:$AB$133,10,FALSE)</f>
        <v>608</v>
      </c>
      <c r="Q147" s="4"/>
    </row>
    <row r="148">
      <c r="D148" s="10" t="s">
        <v>13</v>
      </c>
      <c r="E148" s="3"/>
      <c r="F148" s="3"/>
      <c r="G148" s="4"/>
      <c r="H148" s="11">
        <f>VLOOKUP($D$139,'D-man top 10'!$A$123:$AB$133,11,FALSE)</f>
        <v>201</v>
      </c>
      <c r="I148" s="4"/>
      <c r="L148" s="10" t="s">
        <v>13</v>
      </c>
      <c r="M148" s="3"/>
      <c r="N148" s="3"/>
      <c r="O148" s="4"/>
      <c r="P148" s="11">
        <f>VLOOKUP($L$139,'D-man top 10'!$A$123:$AB$133,11,FALSE)</f>
        <v>241</v>
      </c>
      <c r="Q148" s="4"/>
    </row>
    <row r="149">
      <c r="D149" s="10" t="s">
        <v>14</v>
      </c>
      <c r="E149" s="3"/>
      <c r="F149" s="3"/>
      <c r="G149" s="4"/>
      <c r="H149" s="11">
        <f>VLOOKUP($D$139,'D-man top 10'!$A$123:$AB$133,12,FALSE)</f>
        <v>310</v>
      </c>
      <c r="I149" s="4"/>
      <c r="L149" s="10" t="s">
        <v>14</v>
      </c>
      <c r="M149" s="3"/>
      <c r="N149" s="3"/>
      <c r="O149" s="4"/>
      <c r="P149" s="11">
        <f>VLOOKUP($L$139,'D-man top 10'!$A$123:$AB$133,12,FALSE)</f>
        <v>299</v>
      </c>
      <c r="Q149" s="4"/>
    </row>
    <row r="150">
      <c r="D150" s="10" t="s">
        <v>15</v>
      </c>
      <c r="E150" s="3"/>
      <c r="F150" s="3"/>
      <c r="G150" s="4"/>
      <c r="H150" s="11">
        <f>VLOOKUP($D$139,'D-man top 10'!$A$123:$AB$133,13,FALSE)</f>
        <v>63</v>
      </c>
      <c r="I150" s="4"/>
      <c r="L150" s="10" t="s">
        <v>15</v>
      </c>
      <c r="M150" s="3"/>
      <c r="N150" s="3"/>
      <c r="O150" s="4"/>
      <c r="P150" s="11">
        <f>VLOOKUP($L$139,'D-man top 10'!$A$123:$AB$133,13,FALSE)</f>
        <v>77</v>
      </c>
      <c r="Q150" s="4"/>
    </row>
    <row r="151">
      <c r="D151" s="10" t="s">
        <v>16</v>
      </c>
      <c r="E151" s="3"/>
      <c r="F151" s="3"/>
      <c r="G151" s="4"/>
      <c r="H151" s="11">
        <f>VLOOKUP($D$139,'D-man top 10'!$A$123:$AB$133,14,FALSE)</f>
        <v>150</v>
      </c>
      <c r="I151" s="4"/>
      <c r="L151" s="10" t="s">
        <v>16</v>
      </c>
      <c r="M151" s="3"/>
      <c r="N151" s="3"/>
      <c r="O151" s="4"/>
      <c r="P151" s="11">
        <f>VLOOKUP($L$139,'D-man top 10'!$A$123:$AB$133,14,FALSE)</f>
        <v>166</v>
      </c>
      <c r="Q151" s="4"/>
    </row>
    <row r="152">
      <c r="D152" s="10" t="s">
        <v>17</v>
      </c>
      <c r="E152" s="3"/>
      <c r="F152" s="3"/>
      <c r="G152" s="4"/>
      <c r="H152" s="11">
        <f>VLOOKUP($D$139,'D-man top 10'!$A$123:$AB$133,15,FALSE)</f>
        <v>66</v>
      </c>
      <c r="I152" s="4"/>
      <c r="L152" s="10" t="s">
        <v>17</v>
      </c>
      <c r="M152" s="3"/>
      <c r="N152" s="3"/>
      <c r="O152" s="4"/>
      <c r="P152" s="11">
        <f>VLOOKUP($L$139,'D-man top 10'!$A$123:$AB$133,15,FALSE)</f>
        <v>84</v>
      </c>
      <c r="Q152" s="4"/>
    </row>
    <row r="153">
      <c r="D153" s="10" t="s">
        <v>18</v>
      </c>
      <c r="E153" s="3"/>
      <c r="F153" s="3"/>
      <c r="G153" s="4"/>
      <c r="H153" s="11">
        <f>VLOOKUP($D$139,'D-man top 10'!$A$123:$AB$133,16,FALSE)</f>
        <v>156</v>
      </c>
      <c r="I153" s="4"/>
      <c r="L153" s="10" t="s">
        <v>18</v>
      </c>
      <c r="M153" s="3"/>
      <c r="N153" s="3"/>
      <c r="O153" s="4"/>
      <c r="P153" s="11">
        <f>VLOOKUP($L$139,'D-man top 10'!$A$123:$AB$133,16,FALSE)</f>
        <v>186</v>
      </c>
      <c r="Q153" s="4"/>
    </row>
    <row r="154">
      <c r="D154" s="10" t="s">
        <v>19</v>
      </c>
      <c r="E154" s="3"/>
      <c r="F154" s="3"/>
      <c r="G154" s="4"/>
      <c r="H154" s="11">
        <f>VLOOKUP($D$139,'D-man top 10'!$A$123:$AB$133,17,FALSE)</f>
        <v>535</v>
      </c>
      <c r="I154" s="4"/>
      <c r="L154" s="10" t="s">
        <v>19</v>
      </c>
      <c r="M154" s="3"/>
      <c r="N154" s="3"/>
      <c r="O154" s="4"/>
      <c r="P154" s="11">
        <f>VLOOKUP($L$139,'D-man top 10'!$A$123:$AB$133,17,FALSE)</f>
        <v>777</v>
      </c>
      <c r="Q154" s="4"/>
    </row>
    <row r="155">
      <c r="D155" s="10" t="s">
        <v>20</v>
      </c>
      <c r="E155" s="3"/>
      <c r="F155" s="3"/>
      <c r="G155" s="4"/>
      <c r="H155" s="11">
        <f>VLOOKUP($D$139,'D-man top 10'!$A$123:$AB$133,18,FALSE)</f>
        <v>147</v>
      </c>
      <c r="I155" s="4"/>
      <c r="L155" s="10" t="s">
        <v>20</v>
      </c>
      <c r="M155" s="3"/>
      <c r="N155" s="3"/>
      <c r="O155" s="4"/>
      <c r="P155" s="11">
        <f>VLOOKUP($L$139,'D-man top 10'!$A$123:$AB$133,18,FALSE)</f>
        <v>205</v>
      </c>
      <c r="Q155" s="4"/>
    </row>
    <row r="156">
      <c r="D156" s="10" t="s">
        <v>21</v>
      </c>
      <c r="E156" s="3"/>
      <c r="F156" s="3"/>
      <c r="G156" s="4"/>
      <c r="H156" s="11">
        <f>VLOOKUP($D$139,'D-man top 10'!$A$123:$AB$133,19,FALSE)</f>
        <v>34</v>
      </c>
      <c r="I156" s="4"/>
      <c r="L156" s="10" t="s">
        <v>21</v>
      </c>
      <c r="M156" s="3"/>
      <c r="N156" s="3"/>
      <c r="O156" s="4"/>
      <c r="P156" s="11">
        <f>VLOOKUP($L$139,'D-man top 10'!$A$123:$AB$133,19,FALSE)</f>
        <v>54</v>
      </c>
      <c r="Q156" s="4"/>
    </row>
    <row r="157">
      <c r="D157" s="10" t="s">
        <v>22</v>
      </c>
      <c r="E157" s="3"/>
      <c r="F157" s="3"/>
      <c r="G157" s="4"/>
      <c r="H157" s="11">
        <f>VLOOKUP($D$139,'D-man top 10'!$A$123:$AB$133,20,FALSE)</f>
        <v>529</v>
      </c>
      <c r="I157" s="4"/>
      <c r="L157" s="10" t="s">
        <v>22</v>
      </c>
      <c r="M157" s="3"/>
      <c r="N157" s="3"/>
      <c r="O157" s="4"/>
      <c r="P157" s="11">
        <f>VLOOKUP($L$139,'D-man top 10'!$A$123:$AB$133,20,FALSE)</f>
        <v>609</v>
      </c>
      <c r="Q157" s="4"/>
    </row>
    <row r="158">
      <c r="D158" s="10" t="s">
        <v>23</v>
      </c>
      <c r="E158" s="3"/>
      <c r="F158" s="3"/>
      <c r="G158" s="4"/>
      <c r="H158" s="11">
        <f>VLOOKUP($D$139,'D-man top 10'!$A$123:$AB$133,21,FALSE)</f>
        <v>125</v>
      </c>
      <c r="I158" s="4"/>
      <c r="L158" s="10" t="s">
        <v>23</v>
      </c>
      <c r="M158" s="3"/>
      <c r="N158" s="3"/>
      <c r="O158" s="4"/>
      <c r="P158" s="11">
        <f>VLOOKUP($L$139,'D-man top 10'!$A$123:$AB$133,21,FALSE)</f>
        <v>178</v>
      </c>
      <c r="Q158" s="4"/>
    </row>
    <row r="159">
      <c r="D159" s="10" t="s">
        <v>24</v>
      </c>
      <c r="E159" s="3"/>
      <c r="F159" s="3"/>
      <c r="G159" s="4"/>
      <c r="H159" s="11">
        <f>VLOOKUP($D$139,'D-man top 10'!$A$123:$AB$133,22,FALSE)</f>
        <v>21</v>
      </c>
      <c r="I159" s="4"/>
      <c r="L159" s="10" t="s">
        <v>24</v>
      </c>
      <c r="M159" s="3"/>
      <c r="N159" s="3"/>
      <c r="O159" s="4"/>
      <c r="P159" s="11">
        <f>VLOOKUP($L$139,'D-man top 10'!$A$123:$AB$133,22,FALSE)</f>
        <v>62</v>
      </c>
      <c r="Q159" s="4"/>
    </row>
    <row r="160">
      <c r="D160" s="10" t="s">
        <v>25</v>
      </c>
      <c r="E160" s="3"/>
      <c r="F160" s="3"/>
      <c r="G160" s="4"/>
      <c r="H160" s="11">
        <f>VLOOKUP($D$139,'D-man top 10'!$A$123:$AB$133,23,FALSE)</f>
        <v>42.27</v>
      </c>
      <c r="I160" s="4"/>
      <c r="L160" s="10" t="s">
        <v>25</v>
      </c>
      <c r="M160" s="3"/>
      <c r="N160" s="3"/>
      <c r="O160" s="4"/>
      <c r="P160" s="11">
        <f>VLOOKUP($L$139,'D-man top 10'!$A$123:$AB$133,23,FALSE)</f>
        <v>63.92</v>
      </c>
      <c r="Q160" s="4"/>
    </row>
    <row r="161">
      <c r="D161" s="10" t="s">
        <v>26</v>
      </c>
      <c r="E161" s="3"/>
      <c r="F161" s="3"/>
      <c r="G161" s="4"/>
      <c r="H161" s="11">
        <f>VLOOKUP($D$139,'D-man top 10'!$A$123:$AB$133,24,FALSE)</f>
        <v>36.82</v>
      </c>
      <c r="I161" s="4"/>
      <c r="L161" s="10" t="s">
        <v>26</v>
      </c>
      <c r="M161" s="3"/>
      <c r="N161" s="3"/>
      <c r="O161" s="4"/>
      <c r="P161" s="11">
        <f>VLOOKUP($L$139,'D-man top 10'!$A$123:$AB$133,24,FALSE)</f>
        <v>57.35</v>
      </c>
      <c r="Q161" s="4"/>
    </row>
    <row r="162">
      <c r="D162" s="10" t="s">
        <v>27</v>
      </c>
      <c r="E162" s="3"/>
      <c r="F162" s="3"/>
      <c r="G162" s="4"/>
      <c r="H162" s="11">
        <f>VLOOKUP($D$139,'D-man top 10'!$A$123:$AB$133,25,FALSE)</f>
        <v>43</v>
      </c>
      <c r="I162" s="4"/>
      <c r="L162" s="10" t="s">
        <v>27</v>
      </c>
      <c r="M162" s="3"/>
      <c r="N162" s="3"/>
      <c r="O162" s="4"/>
      <c r="P162" s="11">
        <f>VLOOKUP($L$139,'D-man top 10'!$A$123:$AB$133,25,FALSE)</f>
        <v>80</v>
      </c>
      <c r="Q162" s="4"/>
    </row>
    <row r="163">
      <c r="D163" s="10" t="s">
        <v>28</v>
      </c>
      <c r="E163" s="3"/>
      <c r="F163" s="3"/>
      <c r="G163" s="4"/>
      <c r="H163" s="11">
        <f>VLOOKUP($D$139,'D-man top 10'!$A$123:$AB$133,26,FALSE)</f>
        <v>28</v>
      </c>
      <c r="I163" s="4"/>
      <c r="L163" s="10" t="s">
        <v>28</v>
      </c>
      <c r="M163" s="3"/>
      <c r="N163" s="3"/>
      <c r="O163" s="4"/>
      <c r="P163" s="11">
        <f>VLOOKUP($L$139,'D-man top 10'!$A$123:$AB$133,26,FALSE)</f>
        <v>60</v>
      </c>
      <c r="Q163" s="4"/>
    </row>
    <row r="164">
      <c r="D164" s="10" t="s">
        <v>29</v>
      </c>
      <c r="E164" s="3"/>
      <c r="F164" s="3"/>
      <c r="G164" s="4"/>
      <c r="H164" s="14">
        <f>VLOOKUP($D$139,'D-man top 10'!$A$123:$AB$133,27,FALSE)</f>
        <v>2.527800911</v>
      </c>
      <c r="I164" s="4"/>
      <c r="L164" s="10" t="s">
        <v>29</v>
      </c>
      <c r="M164" s="3"/>
      <c r="N164" s="3"/>
      <c r="O164" s="4"/>
      <c r="P164" s="14">
        <f>VLOOKUP($L$139,'D-man top 10'!$A$123:$AB$133,27,FALSE)</f>
        <v>3.496461047</v>
      </c>
      <c r="Q164" s="4"/>
    </row>
    <row r="165">
      <c r="D165" s="10" t="s">
        <v>30</v>
      </c>
      <c r="E165" s="3"/>
      <c r="F165" s="3"/>
      <c r="G165" s="4"/>
      <c r="H165" s="14">
        <f>VLOOKUP($D$139,'D-man top 10'!$A$123:$AB$133,28,FALSE)</f>
        <v>1.646009896</v>
      </c>
      <c r="I165" s="4"/>
      <c r="L165" s="10" t="s">
        <v>30</v>
      </c>
      <c r="M165" s="3"/>
      <c r="N165" s="3"/>
      <c r="O165" s="4"/>
      <c r="P165" s="14">
        <f>VLOOKUP($L$139,'D-man top 10'!$A$123:$AB$133,28,FALSE)</f>
        <v>2.622345785</v>
      </c>
      <c r="Q165" s="4"/>
    </row>
    <row r="166" ht="31.5" customHeight="1">
      <c r="B166" s="15" t="s">
        <v>31</v>
      </c>
    </row>
    <row r="167">
      <c r="B167" s="10" t="s">
        <v>5</v>
      </c>
      <c r="C167" s="3"/>
      <c r="D167" s="3"/>
      <c r="E167" s="4"/>
      <c r="F167" s="16" t="s">
        <v>32</v>
      </c>
      <c r="G167" s="3"/>
      <c r="H167" s="3"/>
      <c r="I167" s="3"/>
      <c r="J167" s="4"/>
      <c r="O167" s="17"/>
      <c r="P167" s="17"/>
      <c r="Q167" s="17"/>
    </row>
    <row r="168">
      <c r="B168" s="10" t="s">
        <v>6</v>
      </c>
      <c r="C168" s="3"/>
      <c r="D168" s="3"/>
      <c r="E168" s="4"/>
      <c r="F168" s="16" t="s">
        <v>33</v>
      </c>
      <c r="G168" s="3"/>
      <c r="H168" s="3"/>
      <c r="I168" s="3"/>
      <c r="J168" s="4"/>
    </row>
    <row r="169">
      <c r="B169" s="10" t="s">
        <v>7</v>
      </c>
      <c r="C169" s="3"/>
      <c r="D169" s="3"/>
      <c r="E169" s="4"/>
      <c r="F169" s="16" t="s">
        <v>34</v>
      </c>
      <c r="G169" s="3"/>
      <c r="H169" s="3"/>
      <c r="I169" s="3"/>
      <c r="J169" s="4"/>
    </row>
    <row r="170">
      <c r="B170" s="10" t="s">
        <v>8</v>
      </c>
      <c r="C170" s="3"/>
      <c r="D170" s="3"/>
      <c r="E170" s="4"/>
      <c r="F170" s="16" t="s">
        <v>35</v>
      </c>
      <c r="G170" s="3"/>
      <c r="H170" s="3"/>
      <c r="I170" s="3"/>
      <c r="J170" s="4"/>
    </row>
    <row r="171">
      <c r="B171" s="10" t="s">
        <v>9</v>
      </c>
      <c r="C171" s="3"/>
      <c r="D171" s="3"/>
      <c r="E171" s="4"/>
      <c r="F171" s="16" t="s">
        <v>36</v>
      </c>
      <c r="G171" s="3"/>
      <c r="H171" s="3"/>
      <c r="I171" s="3"/>
      <c r="J171" s="4"/>
    </row>
    <row r="172">
      <c r="B172" s="10" t="s">
        <v>10</v>
      </c>
      <c r="C172" s="3"/>
      <c r="D172" s="3"/>
      <c r="E172" s="4"/>
      <c r="F172" s="16" t="s">
        <v>37</v>
      </c>
      <c r="G172" s="3"/>
      <c r="H172" s="3"/>
      <c r="I172" s="3"/>
      <c r="J172" s="4"/>
    </row>
    <row r="173">
      <c r="B173" s="10" t="s">
        <v>11</v>
      </c>
      <c r="C173" s="3"/>
      <c r="D173" s="3"/>
      <c r="E173" s="4"/>
      <c r="F173" s="16" t="s">
        <v>38</v>
      </c>
      <c r="G173" s="3"/>
      <c r="H173" s="3"/>
      <c r="I173" s="3"/>
      <c r="J173" s="4"/>
    </row>
    <row r="174">
      <c r="B174" s="10" t="s">
        <v>12</v>
      </c>
      <c r="C174" s="3"/>
      <c r="D174" s="3"/>
      <c r="E174" s="4"/>
      <c r="F174" s="16" t="s">
        <v>39</v>
      </c>
      <c r="G174" s="3"/>
      <c r="H174" s="3"/>
      <c r="I174" s="3"/>
      <c r="J174" s="4"/>
    </row>
    <row r="175">
      <c r="B175" s="10" t="s">
        <v>13</v>
      </c>
      <c r="C175" s="3"/>
      <c r="D175" s="3"/>
      <c r="E175" s="4"/>
      <c r="F175" s="16" t="s">
        <v>40</v>
      </c>
      <c r="G175" s="3"/>
      <c r="H175" s="3"/>
      <c r="I175" s="3"/>
      <c r="J175" s="4"/>
    </row>
    <row r="176">
      <c r="B176" s="10" t="s">
        <v>14</v>
      </c>
      <c r="C176" s="3"/>
      <c r="D176" s="3"/>
      <c r="E176" s="4"/>
      <c r="F176" s="16" t="s">
        <v>41</v>
      </c>
      <c r="G176" s="3"/>
      <c r="H176" s="3"/>
      <c r="I176" s="3"/>
      <c r="J176" s="4"/>
    </row>
    <row r="177">
      <c r="B177" s="10" t="s">
        <v>15</v>
      </c>
      <c r="C177" s="3"/>
      <c r="D177" s="3"/>
      <c r="E177" s="4"/>
      <c r="F177" s="16" t="s">
        <v>42</v>
      </c>
      <c r="G177" s="3"/>
      <c r="H177" s="3"/>
      <c r="I177" s="3"/>
      <c r="J177" s="4"/>
    </row>
    <row r="178">
      <c r="B178" s="10" t="s">
        <v>16</v>
      </c>
      <c r="C178" s="3"/>
      <c r="D178" s="3"/>
      <c r="E178" s="4"/>
      <c r="F178" s="16" t="s">
        <v>43</v>
      </c>
      <c r="G178" s="3"/>
      <c r="H178" s="3"/>
      <c r="I178" s="3"/>
      <c r="J178" s="4"/>
    </row>
    <row r="179">
      <c r="B179" s="10" t="s">
        <v>17</v>
      </c>
      <c r="C179" s="3"/>
      <c r="D179" s="3"/>
      <c r="E179" s="4"/>
      <c r="F179" s="16" t="s">
        <v>44</v>
      </c>
      <c r="G179" s="3"/>
      <c r="H179" s="3"/>
      <c r="I179" s="3"/>
      <c r="J179" s="4"/>
    </row>
    <row r="180">
      <c r="B180" s="10" t="s">
        <v>18</v>
      </c>
      <c r="C180" s="3"/>
      <c r="D180" s="3"/>
      <c r="E180" s="4"/>
      <c r="F180" s="16" t="s">
        <v>45</v>
      </c>
      <c r="G180" s="3"/>
      <c r="H180" s="3"/>
      <c r="I180" s="3"/>
      <c r="J180" s="4"/>
    </row>
    <row r="181">
      <c r="B181" s="10" t="s">
        <v>19</v>
      </c>
      <c r="C181" s="3"/>
      <c r="D181" s="3"/>
      <c r="E181" s="4"/>
      <c r="F181" s="16" t="s">
        <v>46</v>
      </c>
      <c r="G181" s="3"/>
      <c r="H181" s="3"/>
      <c r="I181" s="3"/>
      <c r="J181" s="4"/>
    </row>
    <row r="182">
      <c r="B182" s="10" t="s">
        <v>20</v>
      </c>
      <c r="C182" s="3"/>
      <c r="D182" s="3"/>
      <c r="E182" s="4"/>
      <c r="F182" s="16" t="s">
        <v>47</v>
      </c>
      <c r="G182" s="3"/>
      <c r="H182" s="3"/>
      <c r="I182" s="3"/>
      <c r="J182" s="4"/>
    </row>
    <row r="183">
      <c r="B183" s="10" t="s">
        <v>21</v>
      </c>
      <c r="C183" s="3"/>
      <c r="D183" s="3"/>
      <c r="E183" s="4"/>
      <c r="F183" s="16" t="s">
        <v>48</v>
      </c>
      <c r="G183" s="3"/>
      <c r="H183" s="3"/>
      <c r="I183" s="3"/>
      <c r="J183" s="4"/>
    </row>
    <row r="184">
      <c r="B184" s="10" t="s">
        <v>22</v>
      </c>
      <c r="C184" s="3"/>
      <c r="D184" s="3"/>
      <c r="E184" s="4"/>
      <c r="F184" s="16" t="s">
        <v>49</v>
      </c>
      <c r="G184" s="3"/>
      <c r="H184" s="3"/>
      <c r="I184" s="3"/>
      <c r="J184" s="4"/>
    </row>
    <row r="185">
      <c r="B185" s="10" t="s">
        <v>23</v>
      </c>
      <c r="C185" s="3"/>
      <c r="D185" s="3"/>
      <c r="E185" s="4"/>
      <c r="F185" s="16" t="s">
        <v>50</v>
      </c>
      <c r="G185" s="3"/>
      <c r="H185" s="3"/>
      <c r="I185" s="3"/>
      <c r="J185" s="4"/>
    </row>
    <row r="186">
      <c r="B186" s="10" t="s">
        <v>24</v>
      </c>
      <c r="C186" s="3"/>
      <c r="D186" s="3"/>
      <c r="E186" s="4"/>
      <c r="F186" s="16" t="s">
        <v>51</v>
      </c>
      <c r="G186" s="3"/>
      <c r="H186" s="3"/>
      <c r="I186" s="3"/>
      <c r="J186" s="4"/>
    </row>
    <row r="187">
      <c r="B187" s="10" t="s">
        <v>25</v>
      </c>
      <c r="C187" s="3"/>
      <c r="D187" s="3"/>
      <c r="E187" s="4"/>
      <c r="F187" s="16" t="s">
        <v>52</v>
      </c>
      <c r="G187" s="3"/>
      <c r="H187" s="3"/>
      <c r="I187" s="3"/>
      <c r="J187" s="4"/>
    </row>
    <row r="188">
      <c r="B188" s="10" t="s">
        <v>26</v>
      </c>
      <c r="C188" s="3"/>
      <c r="D188" s="3"/>
      <c r="E188" s="4"/>
      <c r="F188" s="16" t="s">
        <v>53</v>
      </c>
      <c r="G188" s="3"/>
      <c r="H188" s="3"/>
      <c r="I188" s="3"/>
      <c r="J188" s="4"/>
      <c r="K188" s="17"/>
    </row>
    <row r="189">
      <c r="B189" s="10" t="s">
        <v>27</v>
      </c>
      <c r="C189" s="3"/>
      <c r="D189" s="3"/>
      <c r="E189" s="4"/>
      <c r="F189" s="16" t="s">
        <v>54</v>
      </c>
      <c r="G189" s="18"/>
      <c r="H189" s="18"/>
      <c r="I189" s="18"/>
      <c r="J189" s="19"/>
    </row>
    <row r="190">
      <c r="B190" s="10" t="s">
        <v>28</v>
      </c>
      <c r="C190" s="3"/>
      <c r="D190" s="3"/>
      <c r="E190" s="4"/>
      <c r="F190" s="16" t="s">
        <v>55</v>
      </c>
      <c r="G190" s="3"/>
      <c r="H190" s="3"/>
      <c r="I190" s="3"/>
      <c r="J190" s="4"/>
    </row>
    <row r="191">
      <c r="B191" s="10" t="s">
        <v>29</v>
      </c>
      <c r="C191" s="3"/>
      <c r="D191" s="3"/>
      <c r="E191" s="4"/>
      <c r="F191" s="16" t="s">
        <v>56</v>
      </c>
      <c r="G191" s="3"/>
      <c r="H191" s="3"/>
      <c r="I191" s="3"/>
      <c r="J191" s="4"/>
    </row>
    <row r="192">
      <c r="B192" s="10" t="s">
        <v>30</v>
      </c>
      <c r="C192" s="3"/>
      <c r="D192" s="3"/>
      <c r="E192" s="4"/>
      <c r="F192" s="16" t="s">
        <v>57</v>
      </c>
      <c r="G192" s="3"/>
      <c r="H192" s="3"/>
      <c r="I192" s="3"/>
      <c r="J192" s="4"/>
    </row>
    <row r="193" ht="30.0" customHeight="1">
      <c r="B193" s="20" t="s">
        <v>58</v>
      </c>
    </row>
    <row r="194">
      <c r="A194" s="21" t="s">
        <v>59</v>
      </c>
      <c r="B194" s="21" t="s">
        <v>60</v>
      </c>
      <c r="C194" s="21" t="s">
        <v>5</v>
      </c>
      <c r="D194" s="21" t="s">
        <v>6</v>
      </c>
      <c r="E194" s="21" t="s">
        <v>7</v>
      </c>
      <c r="F194" s="21" t="s">
        <v>8</v>
      </c>
      <c r="G194" s="21" t="s">
        <v>9</v>
      </c>
      <c r="H194" s="21" t="s">
        <v>10</v>
      </c>
      <c r="I194" s="21" t="s">
        <v>11</v>
      </c>
      <c r="J194" s="21" t="s">
        <v>12</v>
      </c>
      <c r="K194" s="21" t="s">
        <v>13</v>
      </c>
      <c r="L194" s="21" t="s">
        <v>14</v>
      </c>
      <c r="M194" s="21" t="s">
        <v>15</v>
      </c>
      <c r="N194" s="21" t="s">
        <v>16</v>
      </c>
      <c r="O194" s="21" t="s">
        <v>17</v>
      </c>
      <c r="P194" s="21" t="s">
        <v>18</v>
      </c>
      <c r="Q194" s="21" t="s">
        <v>19</v>
      </c>
      <c r="R194" s="21" t="s">
        <v>20</v>
      </c>
      <c r="S194" s="21" t="s">
        <v>21</v>
      </c>
      <c r="T194" s="21" t="s">
        <v>22</v>
      </c>
      <c r="U194" s="21" t="s">
        <v>23</v>
      </c>
      <c r="V194" s="21" t="s">
        <v>24</v>
      </c>
      <c r="W194" s="21" t="s">
        <v>25</v>
      </c>
      <c r="X194" s="21" t="s">
        <v>26</v>
      </c>
    </row>
    <row r="195">
      <c r="A195" s="21" t="s">
        <v>3</v>
      </c>
      <c r="B195" s="21" t="s">
        <v>61</v>
      </c>
      <c r="C195" s="21">
        <v>81.0</v>
      </c>
      <c r="D195" s="22">
        <v>0.9533449074074074</v>
      </c>
      <c r="E195" s="21">
        <f t="shared" ref="E195:E204" si="1">SUM(F195:H195)</f>
        <v>1377</v>
      </c>
      <c r="F195" s="21">
        <v>701.0</v>
      </c>
      <c r="G195" s="21">
        <v>335.0</v>
      </c>
      <c r="H195" s="21">
        <v>341.0</v>
      </c>
      <c r="I195" s="21">
        <v>1148.0</v>
      </c>
      <c r="J195" s="21">
        <v>608.0</v>
      </c>
      <c r="K195" s="21">
        <v>241.0</v>
      </c>
      <c r="L195" s="21">
        <f t="shared" ref="L195:L204" si="2">I195-J195-K195</f>
        <v>299</v>
      </c>
      <c r="M195" s="21">
        <v>77.0</v>
      </c>
      <c r="N195" s="21">
        <v>166.0</v>
      </c>
      <c r="O195" s="21">
        <v>84.0</v>
      </c>
      <c r="P195" s="21">
        <v>186.0</v>
      </c>
      <c r="Q195" s="21">
        <v>777.0</v>
      </c>
      <c r="R195" s="21">
        <v>205.0</v>
      </c>
      <c r="S195" s="21">
        <v>54.0</v>
      </c>
      <c r="T195" s="21">
        <v>609.0</v>
      </c>
      <c r="U195" s="21">
        <v>178.0</v>
      </c>
      <c r="V195" s="21">
        <v>62.0</v>
      </c>
      <c r="W195" s="21">
        <v>63.92</v>
      </c>
      <c r="X195" s="21">
        <v>57.35</v>
      </c>
    </row>
    <row r="196">
      <c r="A196" s="21" t="s">
        <v>62</v>
      </c>
      <c r="B196" s="21" t="s">
        <v>63</v>
      </c>
      <c r="C196" s="21">
        <v>76.0</v>
      </c>
      <c r="D196" s="23">
        <v>0.911261574074074</v>
      </c>
      <c r="E196" s="21">
        <f t="shared" si="1"/>
        <v>1163</v>
      </c>
      <c r="F196" s="21">
        <v>633.0</v>
      </c>
      <c r="G196" s="21">
        <v>240.0</v>
      </c>
      <c r="H196" s="21">
        <v>290.0</v>
      </c>
      <c r="I196" s="21">
        <v>1047.0</v>
      </c>
      <c r="J196" s="21">
        <v>542.0</v>
      </c>
      <c r="K196" s="21">
        <v>232.0</v>
      </c>
      <c r="L196" s="21">
        <f t="shared" si="2"/>
        <v>273</v>
      </c>
      <c r="M196" s="21">
        <v>72.0</v>
      </c>
      <c r="N196" s="21">
        <v>161.0</v>
      </c>
      <c r="O196" s="21">
        <v>97.0</v>
      </c>
      <c r="P196" s="21">
        <v>202.0</v>
      </c>
      <c r="Q196" s="21">
        <v>634.0</v>
      </c>
      <c r="R196" s="21">
        <v>180.0</v>
      </c>
      <c r="S196" s="21">
        <v>59.0</v>
      </c>
      <c r="T196" s="21">
        <v>543.0</v>
      </c>
      <c r="U196" s="21">
        <v>180.0</v>
      </c>
      <c r="V196" s="21">
        <v>51.0</v>
      </c>
      <c r="W196" s="21">
        <v>57.62</v>
      </c>
      <c r="X196" s="21">
        <v>52.24</v>
      </c>
    </row>
    <row r="197">
      <c r="A197" s="21" t="s">
        <v>64</v>
      </c>
      <c r="B197" s="21" t="s">
        <v>65</v>
      </c>
      <c r="C197" s="21">
        <v>81.0</v>
      </c>
      <c r="D197" s="23">
        <v>0.9077662037037038</v>
      </c>
      <c r="E197" s="21">
        <f t="shared" si="1"/>
        <v>1430</v>
      </c>
      <c r="F197" s="21">
        <v>731.0</v>
      </c>
      <c r="G197" s="21">
        <v>352.0</v>
      </c>
      <c r="H197" s="21">
        <v>347.0</v>
      </c>
      <c r="I197" s="21">
        <v>1003.0</v>
      </c>
      <c r="J197" s="21">
        <v>571.0</v>
      </c>
      <c r="K197" s="21">
        <v>210.0</v>
      </c>
      <c r="L197" s="21">
        <f t="shared" si="2"/>
        <v>222</v>
      </c>
      <c r="M197" s="21">
        <v>81.0</v>
      </c>
      <c r="N197" s="21">
        <v>169.0</v>
      </c>
      <c r="O197" s="21">
        <v>82.0</v>
      </c>
      <c r="P197" s="21">
        <v>173.0</v>
      </c>
      <c r="Q197" s="21">
        <v>817.0</v>
      </c>
      <c r="R197" s="21">
        <v>205.0</v>
      </c>
      <c r="S197" s="21">
        <v>61.0</v>
      </c>
      <c r="T197" s="21">
        <v>570.0</v>
      </c>
      <c r="U197" s="21">
        <v>166.0</v>
      </c>
      <c r="V197" s="21">
        <v>45.0</v>
      </c>
      <c r="W197" s="21">
        <v>65.21</v>
      </c>
      <c r="X197" s="21">
        <v>48.88</v>
      </c>
    </row>
    <row r="198">
      <c r="A198" s="21" t="s">
        <v>66</v>
      </c>
      <c r="B198" s="21" t="s">
        <v>65</v>
      </c>
      <c r="C198" s="21">
        <v>76.0</v>
      </c>
      <c r="D198" s="23">
        <v>0.8291782407407408</v>
      </c>
      <c r="E198" s="21">
        <f t="shared" si="1"/>
        <v>1474</v>
      </c>
      <c r="F198" s="21">
        <v>733.0</v>
      </c>
      <c r="G198" s="21">
        <v>357.0</v>
      </c>
      <c r="H198" s="21">
        <v>384.0</v>
      </c>
      <c r="I198" s="21">
        <v>903.0</v>
      </c>
      <c r="J198" s="21">
        <v>506.0</v>
      </c>
      <c r="K198" s="21">
        <v>202.0</v>
      </c>
      <c r="L198" s="21">
        <f t="shared" si="2"/>
        <v>195</v>
      </c>
      <c r="M198" s="21">
        <v>74.0</v>
      </c>
      <c r="N198" s="21">
        <v>151.0</v>
      </c>
      <c r="O198" s="21">
        <v>67.0</v>
      </c>
      <c r="P198" s="21">
        <v>136.0</v>
      </c>
      <c r="Q198" s="21">
        <v>823.0</v>
      </c>
      <c r="R198" s="21">
        <v>197.0</v>
      </c>
      <c r="S198" s="21">
        <v>70.0</v>
      </c>
      <c r="T198" s="21">
        <v>524.0</v>
      </c>
      <c r="U198" s="21">
        <v>153.0</v>
      </c>
      <c r="V198" s="21">
        <v>31.0</v>
      </c>
      <c r="W198" s="21">
        <v>67.19</v>
      </c>
      <c r="X198" s="21">
        <v>41.7</v>
      </c>
    </row>
    <row r="199">
      <c r="A199" s="21" t="s">
        <v>67</v>
      </c>
      <c r="B199" s="21" t="s">
        <v>68</v>
      </c>
      <c r="C199" s="21">
        <v>79.0</v>
      </c>
      <c r="D199" s="23">
        <v>0.777800925925926</v>
      </c>
      <c r="E199" s="21">
        <f t="shared" si="1"/>
        <v>1064</v>
      </c>
      <c r="F199" s="21">
        <v>564.0</v>
      </c>
      <c r="G199" s="21">
        <v>224.0</v>
      </c>
      <c r="H199" s="21">
        <v>276.0</v>
      </c>
      <c r="I199" s="21">
        <v>1003.0</v>
      </c>
      <c r="J199" s="21">
        <v>514.0</v>
      </c>
      <c r="K199" s="21">
        <v>208.0</v>
      </c>
      <c r="L199" s="21">
        <f t="shared" si="2"/>
        <v>281</v>
      </c>
      <c r="M199" s="21">
        <v>65.0</v>
      </c>
      <c r="N199" s="21">
        <v>136.0</v>
      </c>
      <c r="O199" s="21">
        <v>59.0</v>
      </c>
      <c r="P199" s="21">
        <v>124.0</v>
      </c>
      <c r="Q199" s="21">
        <v>601.0</v>
      </c>
      <c r="R199" s="21">
        <v>151.0</v>
      </c>
      <c r="S199" s="21">
        <v>36.0</v>
      </c>
      <c r="T199" s="21">
        <v>515.0</v>
      </c>
      <c r="U199" s="21">
        <v>159.0</v>
      </c>
      <c r="V199" s="21">
        <v>48.0</v>
      </c>
      <c r="W199" s="21">
        <v>44.83</v>
      </c>
      <c r="X199" s="21">
        <v>47.63</v>
      </c>
    </row>
    <row r="200">
      <c r="A200" s="21" t="s">
        <v>69</v>
      </c>
      <c r="B200" s="21" t="s">
        <v>70</v>
      </c>
      <c r="C200" s="21">
        <v>80.0</v>
      </c>
      <c r="D200" s="23">
        <v>0.7530092592592592</v>
      </c>
      <c r="E200" s="21">
        <f t="shared" si="1"/>
        <v>999</v>
      </c>
      <c r="F200" s="21">
        <v>538.0</v>
      </c>
      <c r="G200" s="21">
        <v>211.0</v>
      </c>
      <c r="H200" s="21">
        <v>250.0</v>
      </c>
      <c r="I200" s="21">
        <v>986.0</v>
      </c>
      <c r="J200" s="21">
        <v>560.0</v>
      </c>
      <c r="K200" s="21">
        <v>206.0</v>
      </c>
      <c r="L200" s="21">
        <f t="shared" si="2"/>
        <v>220</v>
      </c>
      <c r="M200" s="21">
        <v>84.0</v>
      </c>
      <c r="N200" s="21">
        <v>182.0</v>
      </c>
      <c r="O200" s="21">
        <v>70.0</v>
      </c>
      <c r="P200" s="21">
        <v>152.0</v>
      </c>
      <c r="Q200" s="21">
        <v>526.0</v>
      </c>
      <c r="R200" s="21">
        <v>184.0</v>
      </c>
      <c r="S200" s="21">
        <v>39.0</v>
      </c>
      <c r="T200" s="21">
        <v>569.0</v>
      </c>
      <c r="U200" s="21">
        <v>157.0</v>
      </c>
      <c r="V200" s="21">
        <v>40.0</v>
      </c>
      <c r="W200" s="21">
        <v>49.95</v>
      </c>
      <c r="X200" s="21">
        <v>48.83</v>
      </c>
    </row>
    <row r="201">
      <c r="A201" s="21" t="s">
        <v>2</v>
      </c>
      <c r="B201" s="21" t="s">
        <v>71</v>
      </c>
      <c r="C201" s="21">
        <v>76.0</v>
      </c>
      <c r="D201" s="23">
        <v>0.7087847222222222</v>
      </c>
      <c r="E201" s="21">
        <f t="shared" si="1"/>
        <v>976</v>
      </c>
      <c r="F201" s="21">
        <v>476.0</v>
      </c>
      <c r="G201" s="21">
        <v>240.0</v>
      </c>
      <c r="H201" s="21">
        <v>260.0</v>
      </c>
      <c r="I201" s="21">
        <v>985.0</v>
      </c>
      <c r="J201" s="21">
        <v>474.0</v>
      </c>
      <c r="K201" s="21">
        <v>201.0</v>
      </c>
      <c r="L201" s="21">
        <f t="shared" si="2"/>
        <v>310</v>
      </c>
      <c r="M201" s="21">
        <v>63.0</v>
      </c>
      <c r="N201" s="21">
        <v>150.0</v>
      </c>
      <c r="O201" s="21">
        <v>66.0</v>
      </c>
      <c r="P201" s="21">
        <v>156.0</v>
      </c>
      <c r="Q201" s="21">
        <v>535.0</v>
      </c>
      <c r="R201" s="21">
        <v>147.0</v>
      </c>
      <c r="S201" s="21">
        <v>34.0</v>
      </c>
      <c r="T201" s="21">
        <v>529.0</v>
      </c>
      <c r="U201" s="21">
        <v>125.0</v>
      </c>
      <c r="V201" s="21">
        <v>21.0</v>
      </c>
      <c r="W201" s="21">
        <v>42.27</v>
      </c>
      <c r="X201" s="21">
        <v>36.82</v>
      </c>
    </row>
    <row r="202">
      <c r="A202" s="21" t="s">
        <v>72</v>
      </c>
      <c r="B202" s="21" t="s">
        <v>73</v>
      </c>
      <c r="C202" s="21">
        <v>78.0</v>
      </c>
      <c r="D202" s="23">
        <v>0.7077893518518519</v>
      </c>
      <c r="E202" s="21">
        <f t="shared" si="1"/>
        <v>1132</v>
      </c>
      <c r="F202" s="21">
        <v>615.0</v>
      </c>
      <c r="G202" s="21">
        <v>238.0</v>
      </c>
      <c r="H202" s="21">
        <v>279.0</v>
      </c>
      <c r="I202" s="21">
        <v>945.0</v>
      </c>
      <c r="J202" s="21">
        <v>482.0</v>
      </c>
      <c r="K202" s="21">
        <v>220.0</v>
      </c>
      <c r="L202" s="21">
        <f t="shared" si="2"/>
        <v>243</v>
      </c>
      <c r="M202" s="21">
        <v>58.0</v>
      </c>
      <c r="N202" s="21">
        <v>124.0</v>
      </c>
      <c r="O202" s="21">
        <v>55.0</v>
      </c>
      <c r="P202" s="21">
        <v>126.0</v>
      </c>
      <c r="Q202" s="21">
        <v>655.0</v>
      </c>
      <c r="R202" s="21">
        <v>148.0</v>
      </c>
      <c r="S202" s="21">
        <v>50.0</v>
      </c>
      <c r="T202" s="21">
        <v>527.0</v>
      </c>
      <c r="U202" s="21">
        <v>138.0</v>
      </c>
      <c r="V202" s="21">
        <v>37.0</v>
      </c>
      <c r="W202" s="21">
        <v>51.55</v>
      </c>
      <c r="X202" s="21">
        <v>41.31</v>
      </c>
    </row>
    <row r="203">
      <c r="A203" s="21" t="s">
        <v>74</v>
      </c>
      <c r="B203" s="21" t="s">
        <v>75</v>
      </c>
      <c r="C203" s="21">
        <v>75.0</v>
      </c>
      <c r="D203" s="23">
        <v>0.6916782407407407</v>
      </c>
      <c r="E203" s="21">
        <f t="shared" si="1"/>
        <v>792</v>
      </c>
      <c r="F203" s="21">
        <v>414.0</v>
      </c>
      <c r="G203" s="21">
        <v>174.0</v>
      </c>
      <c r="H203" s="21">
        <v>204.0</v>
      </c>
      <c r="I203" s="21">
        <v>928.0</v>
      </c>
      <c r="J203" s="21">
        <v>513.0</v>
      </c>
      <c r="K203" s="21">
        <v>182.0</v>
      </c>
      <c r="L203" s="21">
        <f t="shared" si="2"/>
        <v>233</v>
      </c>
      <c r="M203" s="21">
        <v>54.0</v>
      </c>
      <c r="N203" s="21">
        <v>111.0</v>
      </c>
      <c r="O203" s="21">
        <v>60.0</v>
      </c>
      <c r="P203" s="21">
        <v>125.0</v>
      </c>
      <c r="Q203" s="21">
        <v>438.0</v>
      </c>
      <c r="R203" s="21">
        <v>119.0</v>
      </c>
      <c r="S203" s="21">
        <v>31.0</v>
      </c>
      <c r="T203" s="21">
        <v>512.0</v>
      </c>
      <c r="U203" s="21">
        <v>142.0</v>
      </c>
      <c r="V203" s="21">
        <v>41.0</v>
      </c>
      <c r="W203" s="21">
        <v>36.28</v>
      </c>
      <c r="X203" s="21">
        <v>46.15</v>
      </c>
    </row>
    <row r="204">
      <c r="A204" s="21" t="s">
        <v>76</v>
      </c>
      <c r="B204" s="21" t="s">
        <v>77</v>
      </c>
      <c r="C204" s="21">
        <v>82.0</v>
      </c>
      <c r="D204" s="23">
        <v>0.6887152777777777</v>
      </c>
      <c r="E204" s="21">
        <f t="shared" si="1"/>
        <v>866</v>
      </c>
      <c r="F204" s="21">
        <v>456.0</v>
      </c>
      <c r="G204" s="21">
        <v>162.0</v>
      </c>
      <c r="H204" s="21">
        <v>248.0</v>
      </c>
      <c r="I204" s="21">
        <v>968.0</v>
      </c>
      <c r="J204" s="21">
        <v>499.0</v>
      </c>
      <c r="K204" s="21">
        <v>204.0</v>
      </c>
      <c r="L204" s="21">
        <f t="shared" si="2"/>
        <v>265</v>
      </c>
      <c r="M204" s="21">
        <v>62.0</v>
      </c>
      <c r="N204" s="21">
        <v>133.0</v>
      </c>
      <c r="O204" s="21">
        <v>59.0</v>
      </c>
      <c r="P204" s="21">
        <v>125.0</v>
      </c>
      <c r="Q204" s="21">
        <v>442.0</v>
      </c>
      <c r="R204" s="21">
        <v>132.0</v>
      </c>
      <c r="S204" s="21">
        <v>44.0</v>
      </c>
      <c r="T204" s="21">
        <v>539.0</v>
      </c>
      <c r="U204" s="21">
        <v>127.0</v>
      </c>
      <c r="V204" s="21">
        <v>37.0</v>
      </c>
      <c r="W204" s="21">
        <v>40.86</v>
      </c>
      <c r="X204" s="21">
        <v>40.57</v>
      </c>
    </row>
  </sheetData>
  <mergeCells count="163">
    <mergeCell ref="D146:G146"/>
    <mergeCell ref="D147:G147"/>
    <mergeCell ref="H147:I147"/>
    <mergeCell ref="L147:O147"/>
    <mergeCell ref="P147:Q147"/>
    <mergeCell ref="D148:G148"/>
    <mergeCell ref="H148:I148"/>
    <mergeCell ref="D149:G149"/>
    <mergeCell ref="H149:I149"/>
    <mergeCell ref="L149:O149"/>
    <mergeCell ref="P149:Q149"/>
    <mergeCell ref="H150:I150"/>
    <mergeCell ref="L150:O150"/>
    <mergeCell ref="P150:Q150"/>
    <mergeCell ref="L152:O152"/>
    <mergeCell ref="P152:Q152"/>
    <mergeCell ref="D150:G150"/>
    <mergeCell ref="D151:G151"/>
    <mergeCell ref="H151:I151"/>
    <mergeCell ref="L151:O151"/>
    <mergeCell ref="P151:Q151"/>
    <mergeCell ref="D152:G152"/>
    <mergeCell ref="H152:I152"/>
    <mergeCell ref="L139:O139"/>
    <mergeCell ref="L140:O140"/>
    <mergeCell ref="L141:O141"/>
    <mergeCell ref="P141:Q141"/>
    <mergeCell ref="L142:O142"/>
    <mergeCell ref="P142:Q142"/>
    <mergeCell ref="L143:O143"/>
    <mergeCell ref="P143:Q143"/>
    <mergeCell ref="B1:X1"/>
    <mergeCell ref="B138:X138"/>
    <mergeCell ref="D139:G139"/>
    <mergeCell ref="H139:I139"/>
    <mergeCell ref="P139:Q139"/>
    <mergeCell ref="H140:I140"/>
    <mergeCell ref="P140:Q140"/>
    <mergeCell ref="D144:G144"/>
    <mergeCell ref="H144:I144"/>
    <mergeCell ref="L144:O144"/>
    <mergeCell ref="P144:Q144"/>
    <mergeCell ref="D140:G140"/>
    <mergeCell ref="D141:G141"/>
    <mergeCell ref="H141:I141"/>
    <mergeCell ref="D142:G142"/>
    <mergeCell ref="H142:I142"/>
    <mergeCell ref="D143:G143"/>
    <mergeCell ref="H143:I143"/>
    <mergeCell ref="D145:G145"/>
    <mergeCell ref="H145:I145"/>
    <mergeCell ref="L145:O145"/>
    <mergeCell ref="P145:Q145"/>
    <mergeCell ref="H146:I146"/>
    <mergeCell ref="L146:O146"/>
    <mergeCell ref="P146:Q146"/>
    <mergeCell ref="L148:O148"/>
    <mergeCell ref="P148:Q148"/>
    <mergeCell ref="L156:O156"/>
    <mergeCell ref="P156:Q156"/>
    <mergeCell ref="D153:G153"/>
    <mergeCell ref="H153:I153"/>
    <mergeCell ref="L153:O153"/>
    <mergeCell ref="P153:Q153"/>
    <mergeCell ref="H154:I154"/>
    <mergeCell ref="L154:O154"/>
    <mergeCell ref="P154:Q154"/>
    <mergeCell ref="D154:G154"/>
    <mergeCell ref="D155:G155"/>
    <mergeCell ref="H155:I155"/>
    <mergeCell ref="L155:O155"/>
    <mergeCell ref="P155:Q155"/>
    <mergeCell ref="D156:G156"/>
    <mergeCell ref="H156:I156"/>
    <mergeCell ref="D157:G157"/>
    <mergeCell ref="H157:I157"/>
    <mergeCell ref="L157:O157"/>
    <mergeCell ref="P157:Q157"/>
    <mergeCell ref="H158:I158"/>
    <mergeCell ref="L158:O158"/>
    <mergeCell ref="P158:Q158"/>
    <mergeCell ref="L160:O160"/>
    <mergeCell ref="P160:Q160"/>
    <mergeCell ref="D158:G158"/>
    <mergeCell ref="D159:G159"/>
    <mergeCell ref="H159:I159"/>
    <mergeCell ref="L159:O159"/>
    <mergeCell ref="P159:Q159"/>
    <mergeCell ref="D160:G160"/>
    <mergeCell ref="H160:I160"/>
    <mergeCell ref="L164:O164"/>
    <mergeCell ref="P164:Q164"/>
    <mergeCell ref="D165:G165"/>
    <mergeCell ref="H165:I165"/>
    <mergeCell ref="L165:O165"/>
    <mergeCell ref="P165:Q165"/>
    <mergeCell ref="B187:E187"/>
    <mergeCell ref="B188:E188"/>
    <mergeCell ref="B189:E189"/>
    <mergeCell ref="B190:E190"/>
    <mergeCell ref="B191:E191"/>
    <mergeCell ref="B192:E192"/>
    <mergeCell ref="B180:E180"/>
    <mergeCell ref="B181:E181"/>
    <mergeCell ref="B182:E182"/>
    <mergeCell ref="B183:E183"/>
    <mergeCell ref="B184:E184"/>
    <mergeCell ref="B185:E185"/>
    <mergeCell ref="B186:E186"/>
    <mergeCell ref="D161:G161"/>
    <mergeCell ref="H161:I161"/>
    <mergeCell ref="L161:O161"/>
    <mergeCell ref="P161:Q161"/>
    <mergeCell ref="H162:I162"/>
    <mergeCell ref="L162:O162"/>
    <mergeCell ref="P162:Q162"/>
    <mergeCell ref="D162:G162"/>
    <mergeCell ref="D163:G163"/>
    <mergeCell ref="H163:I163"/>
    <mergeCell ref="L163:O163"/>
    <mergeCell ref="P163:Q163"/>
    <mergeCell ref="H164:I164"/>
    <mergeCell ref="B166:W166"/>
    <mergeCell ref="D164:G164"/>
    <mergeCell ref="B167:E167"/>
    <mergeCell ref="F167:J167"/>
    <mergeCell ref="B168:E168"/>
    <mergeCell ref="F168:J168"/>
    <mergeCell ref="B169:E169"/>
    <mergeCell ref="F169:J169"/>
    <mergeCell ref="B170:E170"/>
    <mergeCell ref="F170:J170"/>
    <mergeCell ref="B171:E171"/>
    <mergeCell ref="F171:J171"/>
    <mergeCell ref="B172:E172"/>
    <mergeCell ref="F172:J172"/>
    <mergeCell ref="F173:J173"/>
    <mergeCell ref="B173:E173"/>
    <mergeCell ref="B174:E174"/>
    <mergeCell ref="B175:E175"/>
    <mergeCell ref="B176:E176"/>
    <mergeCell ref="B177:E177"/>
    <mergeCell ref="B178:E178"/>
    <mergeCell ref="B179:E179"/>
    <mergeCell ref="F174:J174"/>
    <mergeCell ref="F175:J175"/>
    <mergeCell ref="F176:J176"/>
    <mergeCell ref="F177:J177"/>
    <mergeCell ref="F178:J178"/>
    <mergeCell ref="F179:J179"/>
    <mergeCell ref="F180:J180"/>
    <mergeCell ref="F188:J188"/>
    <mergeCell ref="F190:J190"/>
    <mergeCell ref="F191:J191"/>
    <mergeCell ref="F192:J192"/>
    <mergeCell ref="B193:W193"/>
    <mergeCell ref="F181:J181"/>
    <mergeCell ref="F182:J182"/>
    <mergeCell ref="F183:J183"/>
    <mergeCell ref="F184:J184"/>
    <mergeCell ref="F185:J185"/>
    <mergeCell ref="F186:J186"/>
    <mergeCell ref="F187:J187"/>
  </mergeCells>
  <conditionalFormatting sqref="H140:I165">
    <cfRule type="cellIs" dxfId="0" priority="1" operator="greaterThan">
      <formula>P140</formula>
    </cfRule>
  </conditionalFormatting>
  <conditionalFormatting sqref="P140:Q165">
    <cfRule type="cellIs" dxfId="0" priority="2" operator="greaterThan">
      <formula>H140</formula>
    </cfRule>
  </conditionalFormatting>
  <dataValidations>
    <dataValidation type="list" allowBlank="1" showErrorMessage="1" sqref="D139 L139">
      <formula1>'D-man top 10'!$A$2:$A$11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4" max="4" width="25.75"/>
    <col customWidth="1" min="5" max="5" width="22.88"/>
    <col customWidth="1" min="6" max="6" width="21.63"/>
    <col customWidth="1" min="7" max="7" width="14.88"/>
    <col customWidth="1" min="10" max="10" width="19.38"/>
    <col customWidth="1" min="11" max="11" width="18.25"/>
    <col customWidth="1" min="15" max="15" width="15.88"/>
    <col customWidth="1" min="20" max="20" width="14.63"/>
    <col customWidth="1" min="21" max="21" width="18.0"/>
    <col customWidth="1" min="22" max="22" width="15.25"/>
    <col customWidth="1" min="23" max="23" width="18.0"/>
    <col customWidth="1" min="24" max="24" width="21.5"/>
    <col customWidth="1" min="25" max="25" width="18.75"/>
  </cols>
  <sheetData>
    <row r="1">
      <c r="A1" s="9" t="s">
        <v>59</v>
      </c>
      <c r="B1" s="9" t="s">
        <v>60</v>
      </c>
      <c r="C1" s="24" t="s">
        <v>5</v>
      </c>
      <c r="D1" s="9" t="s">
        <v>78</v>
      </c>
      <c r="E1" s="24" t="s">
        <v>79</v>
      </c>
      <c r="F1" s="9" t="s">
        <v>80</v>
      </c>
      <c r="G1" s="9" t="s">
        <v>81</v>
      </c>
      <c r="H1" s="25" t="s">
        <v>7</v>
      </c>
      <c r="I1" s="25" t="s">
        <v>8</v>
      </c>
      <c r="J1" s="25" t="s">
        <v>9</v>
      </c>
      <c r="K1" s="25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27" t="s">
        <v>19</v>
      </c>
      <c r="U1" s="27" t="s">
        <v>20</v>
      </c>
      <c r="V1" s="27" t="s">
        <v>21</v>
      </c>
      <c r="W1" s="28" t="s">
        <v>22</v>
      </c>
      <c r="X1" s="28" t="s">
        <v>23</v>
      </c>
      <c r="Y1" s="28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</row>
    <row r="2">
      <c r="A2" s="9" t="s">
        <v>3</v>
      </c>
      <c r="B2" s="9" t="s">
        <v>61</v>
      </c>
      <c r="C2" s="24">
        <v>81.0</v>
      </c>
      <c r="D2" s="9">
        <v>82369.0</v>
      </c>
      <c r="E2" s="30" t="str">
        <f t="shared" ref="E2:E11" si="1">INT(D2/60) &amp; " min " &amp; MOD(D2,60) &amp; " s"</f>
        <v>1372 min 49 s</v>
      </c>
      <c r="F2" s="31">
        <v>0.55</v>
      </c>
      <c r="G2" s="31">
        <v>0.55</v>
      </c>
      <c r="H2" s="25">
        <f t="shared" ref="H2:H11" si="2">SUM(I2:K2)</f>
        <v>1377</v>
      </c>
      <c r="I2" s="25">
        <v>701.0</v>
      </c>
      <c r="J2" s="25">
        <v>335.0</v>
      </c>
      <c r="K2" s="25">
        <v>341.0</v>
      </c>
      <c r="L2" s="26">
        <v>1148.0</v>
      </c>
      <c r="M2" s="26">
        <v>608.0</v>
      </c>
      <c r="N2" s="26">
        <v>241.0</v>
      </c>
      <c r="O2" s="26">
        <f t="shared" ref="O2:O11" si="3">L2-M2-N2</f>
        <v>299</v>
      </c>
      <c r="P2" s="9">
        <v>77.0</v>
      </c>
      <c r="Q2" s="9">
        <v>166.0</v>
      </c>
      <c r="R2" s="9">
        <v>84.0</v>
      </c>
      <c r="S2" s="9">
        <v>186.0</v>
      </c>
      <c r="T2" s="27">
        <v>777.0</v>
      </c>
      <c r="U2" s="27">
        <v>205.0</v>
      </c>
      <c r="V2" s="27">
        <v>54.0</v>
      </c>
      <c r="W2" s="28">
        <v>609.0</v>
      </c>
      <c r="X2" s="28">
        <v>178.0</v>
      </c>
      <c r="Y2" s="28">
        <v>62.0</v>
      </c>
      <c r="Z2" s="29">
        <v>63.92</v>
      </c>
      <c r="AA2" s="29">
        <v>57.35</v>
      </c>
      <c r="AB2" s="29">
        <v>80.0</v>
      </c>
      <c r="AC2" s="29">
        <v>60.0</v>
      </c>
      <c r="AD2" s="32">
        <f t="shared" ref="AD2:AD11" si="4">(AB2/D2)*3600</f>
        <v>3.496461047</v>
      </c>
      <c r="AE2" s="32">
        <f t="shared" ref="AE2:AE11" si="5">(AC2/D2)*3600</f>
        <v>2.622345785</v>
      </c>
    </row>
    <row r="3">
      <c r="A3" s="9" t="s">
        <v>62</v>
      </c>
      <c r="B3" s="9" t="s">
        <v>63</v>
      </c>
      <c r="C3" s="24">
        <v>76.0</v>
      </c>
      <c r="D3" s="9">
        <v>78733.0</v>
      </c>
      <c r="E3" s="30" t="str">
        <f t="shared" si="1"/>
        <v>1312 min 13 s</v>
      </c>
      <c r="F3" s="31">
        <v>0.53</v>
      </c>
      <c r="G3" s="31">
        <v>0.53</v>
      </c>
      <c r="H3" s="25">
        <f t="shared" si="2"/>
        <v>1163</v>
      </c>
      <c r="I3" s="25">
        <v>633.0</v>
      </c>
      <c r="J3" s="25">
        <v>240.0</v>
      </c>
      <c r="K3" s="25">
        <v>290.0</v>
      </c>
      <c r="L3" s="26">
        <v>1047.0</v>
      </c>
      <c r="M3" s="26">
        <v>542.0</v>
      </c>
      <c r="N3" s="26">
        <v>232.0</v>
      </c>
      <c r="O3" s="26">
        <f t="shared" si="3"/>
        <v>273</v>
      </c>
      <c r="P3" s="9">
        <v>72.0</v>
      </c>
      <c r="Q3" s="9">
        <v>161.0</v>
      </c>
      <c r="R3" s="9">
        <v>97.0</v>
      </c>
      <c r="S3" s="9">
        <v>202.0</v>
      </c>
      <c r="T3" s="27">
        <v>634.0</v>
      </c>
      <c r="U3" s="27">
        <v>180.0</v>
      </c>
      <c r="V3" s="27">
        <v>59.0</v>
      </c>
      <c r="W3" s="28">
        <v>543.0</v>
      </c>
      <c r="X3" s="28">
        <v>180.0</v>
      </c>
      <c r="Y3" s="28">
        <v>51.0</v>
      </c>
      <c r="Z3" s="29">
        <v>57.62</v>
      </c>
      <c r="AA3" s="29">
        <v>52.24</v>
      </c>
      <c r="AB3" s="29">
        <v>53.0</v>
      </c>
      <c r="AC3" s="29">
        <v>44.0</v>
      </c>
      <c r="AD3" s="32">
        <f t="shared" si="4"/>
        <v>2.423380285</v>
      </c>
      <c r="AE3" s="32">
        <f t="shared" si="5"/>
        <v>2.011862878</v>
      </c>
    </row>
    <row r="4">
      <c r="A4" s="9" t="s">
        <v>64</v>
      </c>
      <c r="B4" s="9" t="s">
        <v>65</v>
      </c>
      <c r="C4" s="24">
        <v>81.0</v>
      </c>
      <c r="D4" s="9">
        <v>78431.0</v>
      </c>
      <c r="E4" s="30" t="str">
        <f t="shared" si="1"/>
        <v>1307 min 11 s</v>
      </c>
      <c r="F4" s="31">
        <v>0.59</v>
      </c>
      <c r="G4" s="31">
        <v>0.58</v>
      </c>
      <c r="H4" s="25">
        <f t="shared" si="2"/>
        <v>1430</v>
      </c>
      <c r="I4" s="25">
        <v>731.0</v>
      </c>
      <c r="J4" s="25">
        <v>352.0</v>
      </c>
      <c r="K4" s="25">
        <v>347.0</v>
      </c>
      <c r="L4" s="26">
        <v>1003.0</v>
      </c>
      <c r="M4" s="26">
        <v>571.0</v>
      </c>
      <c r="N4" s="26">
        <v>210.0</v>
      </c>
      <c r="O4" s="26">
        <f t="shared" si="3"/>
        <v>222</v>
      </c>
      <c r="P4" s="9">
        <v>81.0</v>
      </c>
      <c r="Q4" s="9">
        <v>169.0</v>
      </c>
      <c r="R4" s="9">
        <v>82.0</v>
      </c>
      <c r="S4" s="9">
        <v>173.0</v>
      </c>
      <c r="T4" s="27">
        <v>817.0</v>
      </c>
      <c r="U4" s="27">
        <v>205.0</v>
      </c>
      <c r="V4" s="27">
        <v>61.0</v>
      </c>
      <c r="W4" s="28">
        <v>570.0</v>
      </c>
      <c r="X4" s="28">
        <v>166.0</v>
      </c>
      <c r="Y4" s="28">
        <v>45.0</v>
      </c>
      <c r="Z4" s="29">
        <v>65.21</v>
      </c>
      <c r="AA4" s="29">
        <v>48.88</v>
      </c>
      <c r="AB4" s="29">
        <v>56.0</v>
      </c>
      <c r="AC4" s="29">
        <v>49.0</v>
      </c>
      <c r="AD4" s="32">
        <f t="shared" si="4"/>
        <v>2.570412209</v>
      </c>
      <c r="AE4" s="32">
        <f t="shared" si="5"/>
        <v>2.249110683</v>
      </c>
    </row>
    <row r="5">
      <c r="A5" s="9" t="s">
        <v>66</v>
      </c>
      <c r="B5" s="9" t="s">
        <v>65</v>
      </c>
      <c r="C5" s="24">
        <v>76.0</v>
      </c>
      <c r="D5" s="9">
        <v>71641.0</v>
      </c>
      <c r="E5" s="30" t="str">
        <f t="shared" si="1"/>
        <v>1194 min 1 s</v>
      </c>
      <c r="F5" s="31">
        <v>0.62</v>
      </c>
      <c r="G5" s="31">
        <v>0.61</v>
      </c>
      <c r="H5" s="25">
        <f t="shared" si="2"/>
        <v>1474</v>
      </c>
      <c r="I5" s="25">
        <v>733.0</v>
      </c>
      <c r="J5" s="25">
        <v>357.0</v>
      </c>
      <c r="K5" s="25">
        <v>384.0</v>
      </c>
      <c r="L5" s="26">
        <v>903.0</v>
      </c>
      <c r="M5" s="26">
        <v>506.0</v>
      </c>
      <c r="N5" s="26">
        <v>202.0</v>
      </c>
      <c r="O5" s="26">
        <f t="shared" si="3"/>
        <v>195</v>
      </c>
      <c r="P5" s="9">
        <v>74.0</v>
      </c>
      <c r="Q5" s="9">
        <v>151.0</v>
      </c>
      <c r="R5" s="9">
        <v>67.0</v>
      </c>
      <c r="S5" s="9">
        <v>136.0</v>
      </c>
      <c r="T5" s="27">
        <v>823.0</v>
      </c>
      <c r="U5" s="27">
        <v>197.0</v>
      </c>
      <c r="V5" s="27">
        <v>70.0</v>
      </c>
      <c r="W5" s="28">
        <v>524.0</v>
      </c>
      <c r="X5" s="28">
        <v>153.0</v>
      </c>
      <c r="Y5" s="28">
        <v>31.0</v>
      </c>
      <c r="Z5" s="29">
        <v>67.19</v>
      </c>
      <c r="AA5" s="29">
        <v>41.7</v>
      </c>
      <c r="AB5" s="29">
        <v>52.0</v>
      </c>
      <c r="AC5" s="29">
        <v>39.0</v>
      </c>
      <c r="AD5" s="32">
        <f t="shared" si="4"/>
        <v>2.613028852</v>
      </c>
      <c r="AE5" s="32">
        <f t="shared" si="5"/>
        <v>1.959771639</v>
      </c>
    </row>
    <row r="6">
      <c r="A6" s="9" t="s">
        <v>67</v>
      </c>
      <c r="B6" s="9" t="s">
        <v>68</v>
      </c>
      <c r="C6" s="24">
        <v>79.0</v>
      </c>
      <c r="D6" s="9">
        <v>67202.0</v>
      </c>
      <c r="E6" s="30" t="str">
        <f t="shared" si="1"/>
        <v>1120 min 2 s</v>
      </c>
      <c r="F6" s="31">
        <v>0.51</v>
      </c>
      <c r="G6" s="31">
        <v>0.52</v>
      </c>
      <c r="H6" s="25">
        <f t="shared" si="2"/>
        <v>1064</v>
      </c>
      <c r="I6" s="25">
        <v>564.0</v>
      </c>
      <c r="J6" s="25">
        <v>224.0</v>
      </c>
      <c r="K6" s="25">
        <v>276.0</v>
      </c>
      <c r="L6" s="26">
        <v>1003.0</v>
      </c>
      <c r="M6" s="26">
        <v>514.0</v>
      </c>
      <c r="N6" s="26">
        <v>208.0</v>
      </c>
      <c r="O6" s="26">
        <f t="shared" si="3"/>
        <v>281</v>
      </c>
      <c r="P6" s="9">
        <v>65.0</v>
      </c>
      <c r="Q6" s="9">
        <v>136.0</v>
      </c>
      <c r="R6" s="9">
        <v>59.0</v>
      </c>
      <c r="S6" s="9">
        <v>124.0</v>
      </c>
      <c r="T6" s="27">
        <v>601.0</v>
      </c>
      <c r="U6" s="27">
        <v>151.0</v>
      </c>
      <c r="V6" s="27">
        <v>36.0</v>
      </c>
      <c r="W6" s="28">
        <v>515.0</v>
      </c>
      <c r="X6" s="28">
        <v>159.0</v>
      </c>
      <c r="Y6" s="28">
        <v>48.0</v>
      </c>
      <c r="Z6" s="29">
        <v>44.83</v>
      </c>
      <c r="AA6" s="29">
        <v>47.63</v>
      </c>
      <c r="AB6" s="29">
        <v>48.0</v>
      </c>
      <c r="AC6" s="29">
        <v>55.0</v>
      </c>
      <c r="AD6" s="32">
        <f t="shared" si="4"/>
        <v>2.571352043</v>
      </c>
      <c r="AE6" s="32">
        <f t="shared" si="5"/>
        <v>2.946340883</v>
      </c>
    </row>
    <row r="7">
      <c r="A7" s="9" t="s">
        <v>69</v>
      </c>
      <c r="B7" s="9" t="s">
        <v>70</v>
      </c>
      <c r="C7" s="24">
        <v>80.0</v>
      </c>
      <c r="D7" s="9">
        <v>65060.0</v>
      </c>
      <c r="E7" s="30" t="str">
        <f t="shared" si="1"/>
        <v>1084 min 20 s</v>
      </c>
      <c r="F7" s="31">
        <v>0.5</v>
      </c>
      <c r="G7" s="31">
        <v>0.49</v>
      </c>
      <c r="H7" s="25">
        <f t="shared" si="2"/>
        <v>999</v>
      </c>
      <c r="I7" s="25">
        <v>538.0</v>
      </c>
      <c r="J7" s="25">
        <v>211.0</v>
      </c>
      <c r="K7" s="25">
        <v>250.0</v>
      </c>
      <c r="L7" s="26">
        <v>986.0</v>
      </c>
      <c r="M7" s="26">
        <v>560.0</v>
      </c>
      <c r="N7" s="26">
        <v>206.0</v>
      </c>
      <c r="O7" s="26">
        <f t="shared" si="3"/>
        <v>220</v>
      </c>
      <c r="P7" s="9">
        <v>84.0</v>
      </c>
      <c r="Q7" s="9">
        <v>182.0</v>
      </c>
      <c r="R7" s="9">
        <v>70.0</v>
      </c>
      <c r="S7" s="9">
        <v>152.0</v>
      </c>
      <c r="T7" s="27">
        <v>526.0</v>
      </c>
      <c r="U7" s="27">
        <v>184.0</v>
      </c>
      <c r="V7" s="27">
        <v>39.0</v>
      </c>
      <c r="W7" s="28">
        <v>569.0</v>
      </c>
      <c r="X7" s="28">
        <v>157.0</v>
      </c>
      <c r="Y7" s="28">
        <v>40.0</v>
      </c>
      <c r="Z7" s="29">
        <v>49.95</v>
      </c>
      <c r="AA7" s="29">
        <v>48.83</v>
      </c>
      <c r="AB7" s="29">
        <v>46.0</v>
      </c>
      <c r="AC7" s="29">
        <v>48.0</v>
      </c>
      <c r="AD7" s="32">
        <f t="shared" si="4"/>
        <v>2.545342761</v>
      </c>
      <c r="AE7" s="32">
        <f t="shared" si="5"/>
        <v>2.656009837</v>
      </c>
    </row>
    <row r="8">
      <c r="A8" s="9" t="s">
        <v>2</v>
      </c>
      <c r="B8" s="9" t="s">
        <v>71</v>
      </c>
      <c r="C8" s="24">
        <v>76.0</v>
      </c>
      <c r="D8" s="9">
        <v>61239.0</v>
      </c>
      <c r="E8" s="30" t="str">
        <f t="shared" si="1"/>
        <v>1020 min 39 s</v>
      </c>
      <c r="F8" s="31">
        <v>0.5</v>
      </c>
      <c r="G8" s="31">
        <v>0.51</v>
      </c>
      <c r="H8" s="25">
        <f t="shared" si="2"/>
        <v>976</v>
      </c>
      <c r="I8" s="25">
        <v>476.0</v>
      </c>
      <c r="J8" s="25">
        <v>240.0</v>
      </c>
      <c r="K8" s="25">
        <v>260.0</v>
      </c>
      <c r="L8" s="26">
        <v>985.0</v>
      </c>
      <c r="M8" s="26">
        <v>474.0</v>
      </c>
      <c r="N8" s="26">
        <v>201.0</v>
      </c>
      <c r="O8" s="26">
        <f t="shared" si="3"/>
        <v>310</v>
      </c>
      <c r="P8" s="9">
        <v>63.0</v>
      </c>
      <c r="Q8" s="9">
        <v>150.0</v>
      </c>
      <c r="R8" s="9">
        <v>66.0</v>
      </c>
      <c r="S8" s="9">
        <v>156.0</v>
      </c>
      <c r="T8" s="27">
        <v>535.0</v>
      </c>
      <c r="U8" s="27">
        <v>147.0</v>
      </c>
      <c r="V8" s="27">
        <v>34.0</v>
      </c>
      <c r="W8" s="28">
        <v>529.0</v>
      </c>
      <c r="X8" s="28">
        <v>125.0</v>
      </c>
      <c r="Y8" s="28">
        <v>21.0</v>
      </c>
      <c r="Z8" s="29">
        <v>42.27</v>
      </c>
      <c r="AA8" s="29">
        <v>36.82</v>
      </c>
      <c r="AB8" s="29">
        <v>43.0</v>
      </c>
      <c r="AC8" s="29">
        <v>28.0</v>
      </c>
      <c r="AD8" s="32">
        <f t="shared" si="4"/>
        <v>2.527800911</v>
      </c>
      <c r="AE8" s="32">
        <f t="shared" si="5"/>
        <v>1.646009896</v>
      </c>
    </row>
    <row r="9">
      <c r="A9" s="9" t="s">
        <v>72</v>
      </c>
      <c r="B9" s="9" t="s">
        <v>73</v>
      </c>
      <c r="C9" s="24">
        <v>78.0</v>
      </c>
      <c r="D9" s="9">
        <v>61153.0</v>
      </c>
      <c r="E9" s="30" t="str">
        <f t="shared" si="1"/>
        <v>1019 min 13 s</v>
      </c>
      <c r="F9" s="31">
        <v>0.55</v>
      </c>
      <c r="G9" s="31">
        <v>0.55</v>
      </c>
      <c r="H9" s="25">
        <f t="shared" si="2"/>
        <v>1132</v>
      </c>
      <c r="I9" s="25">
        <v>615.0</v>
      </c>
      <c r="J9" s="25">
        <v>238.0</v>
      </c>
      <c r="K9" s="25">
        <v>279.0</v>
      </c>
      <c r="L9" s="26">
        <v>945.0</v>
      </c>
      <c r="M9" s="26">
        <v>482.0</v>
      </c>
      <c r="N9" s="26">
        <v>220.0</v>
      </c>
      <c r="O9" s="26">
        <f t="shared" si="3"/>
        <v>243</v>
      </c>
      <c r="P9" s="9">
        <v>58.0</v>
      </c>
      <c r="Q9" s="9">
        <v>124.0</v>
      </c>
      <c r="R9" s="9">
        <v>55.0</v>
      </c>
      <c r="S9" s="9">
        <v>126.0</v>
      </c>
      <c r="T9" s="27">
        <v>655.0</v>
      </c>
      <c r="U9" s="27">
        <v>148.0</v>
      </c>
      <c r="V9" s="27">
        <v>50.0</v>
      </c>
      <c r="W9" s="28">
        <v>527.0</v>
      </c>
      <c r="X9" s="28">
        <v>138.0</v>
      </c>
      <c r="Y9" s="28">
        <v>37.0</v>
      </c>
      <c r="Z9" s="29">
        <v>51.55</v>
      </c>
      <c r="AA9" s="29">
        <v>41.31</v>
      </c>
      <c r="AB9" s="29">
        <v>61.0</v>
      </c>
      <c r="AC9" s="29">
        <v>38.0</v>
      </c>
      <c r="AD9" s="32">
        <f t="shared" si="4"/>
        <v>3.590993083</v>
      </c>
      <c r="AE9" s="32">
        <f t="shared" si="5"/>
        <v>2.237012084</v>
      </c>
    </row>
    <row r="10">
      <c r="A10" s="9" t="s">
        <v>74</v>
      </c>
      <c r="B10" s="9" t="s">
        <v>75</v>
      </c>
      <c r="C10" s="24">
        <v>75.0</v>
      </c>
      <c r="D10" s="9">
        <v>59761.0</v>
      </c>
      <c r="E10" s="30" t="str">
        <f t="shared" si="1"/>
        <v>996 min 1 s</v>
      </c>
      <c r="F10" s="31">
        <v>0.46</v>
      </c>
      <c r="G10" s="31">
        <v>0.46</v>
      </c>
      <c r="H10" s="25">
        <f t="shared" si="2"/>
        <v>792</v>
      </c>
      <c r="I10" s="25">
        <v>414.0</v>
      </c>
      <c r="J10" s="25">
        <v>174.0</v>
      </c>
      <c r="K10" s="25">
        <v>204.0</v>
      </c>
      <c r="L10" s="26">
        <v>928.0</v>
      </c>
      <c r="M10" s="26">
        <v>513.0</v>
      </c>
      <c r="N10" s="26">
        <v>182.0</v>
      </c>
      <c r="O10" s="26">
        <f t="shared" si="3"/>
        <v>233</v>
      </c>
      <c r="P10" s="9">
        <v>54.0</v>
      </c>
      <c r="Q10" s="9">
        <v>111.0</v>
      </c>
      <c r="R10" s="9">
        <v>60.0</v>
      </c>
      <c r="S10" s="9">
        <v>125.0</v>
      </c>
      <c r="T10" s="27">
        <v>438.0</v>
      </c>
      <c r="U10" s="27">
        <v>119.0</v>
      </c>
      <c r="V10" s="27">
        <v>31.0</v>
      </c>
      <c r="W10" s="28">
        <v>512.0</v>
      </c>
      <c r="X10" s="28">
        <v>142.0</v>
      </c>
      <c r="Y10" s="28">
        <v>41.0</v>
      </c>
      <c r="Z10" s="29">
        <v>36.28</v>
      </c>
      <c r="AA10" s="29">
        <v>46.15</v>
      </c>
      <c r="AB10" s="29">
        <v>34.0</v>
      </c>
      <c r="AC10" s="29">
        <v>47.0</v>
      </c>
      <c r="AD10" s="32">
        <f t="shared" si="4"/>
        <v>2.048158498</v>
      </c>
      <c r="AE10" s="32">
        <f t="shared" si="5"/>
        <v>2.831277924</v>
      </c>
    </row>
    <row r="11">
      <c r="A11" s="9" t="s">
        <v>76</v>
      </c>
      <c r="B11" s="9" t="s">
        <v>77</v>
      </c>
      <c r="C11" s="24">
        <v>82.0</v>
      </c>
      <c r="D11" s="9">
        <v>59505.0</v>
      </c>
      <c r="E11" s="30" t="str">
        <f t="shared" si="1"/>
        <v>991 min 45 s</v>
      </c>
      <c r="F11" s="31">
        <v>0.47</v>
      </c>
      <c r="G11" s="31">
        <v>0.47</v>
      </c>
      <c r="H11" s="25">
        <f t="shared" si="2"/>
        <v>866</v>
      </c>
      <c r="I11" s="25">
        <v>456.0</v>
      </c>
      <c r="J11" s="25">
        <v>162.0</v>
      </c>
      <c r="K11" s="25">
        <v>248.0</v>
      </c>
      <c r="L11" s="26">
        <v>968.0</v>
      </c>
      <c r="M11" s="26">
        <v>499.0</v>
      </c>
      <c r="N11" s="26">
        <v>204.0</v>
      </c>
      <c r="O11" s="26">
        <f t="shared" si="3"/>
        <v>265</v>
      </c>
      <c r="P11" s="9">
        <v>62.0</v>
      </c>
      <c r="Q11" s="9">
        <v>133.0</v>
      </c>
      <c r="R11" s="9">
        <v>59.0</v>
      </c>
      <c r="S11" s="9">
        <v>125.0</v>
      </c>
      <c r="T11" s="27">
        <v>442.0</v>
      </c>
      <c r="U11" s="27">
        <v>132.0</v>
      </c>
      <c r="V11" s="27">
        <v>44.0</v>
      </c>
      <c r="W11" s="28">
        <v>539.0</v>
      </c>
      <c r="X11" s="28">
        <v>127.0</v>
      </c>
      <c r="Y11" s="28">
        <v>37.0</v>
      </c>
      <c r="Z11" s="29">
        <v>40.86</v>
      </c>
      <c r="AA11" s="29">
        <v>40.57</v>
      </c>
      <c r="AB11" s="29">
        <v>42.0</v>
      </c>
      <c r="AC11" s="29">
        <v>38.0</v>
      </c>
      <c r="AD11" s="32">
        <f t="shared" si="4"/>
        <v>2.540962944</v>
      </c>
      <c r="AE11" s="32">
        <f t="shared" si="5"/>
        <v>2.298966473</v>
      </c>
    </row>
    <row r="16">
      <c r="A16" s="33" t="s">
        <v>59</v>
      </c>
      <c r="B16" s="33" t="s">
        <v>60</v>
      </c>
      <c r="C16" s="33" t="s">
        <v>5</v>
      </c>
      <c r="D16" s="33" t="s">
        <v>79</v>
      </c>
      <c r="E16" s="9" t="s">
        <v>6</v>
      </c>
      <c r="F16" s="9" t="s">
        <v>82</v>
      </c>
      <c r="G16" s="33" t="s">
        <v>5</v>
      </c>
      <c r="H16" s="9" t="s">
        <v>6</v>
      </c>
    </row>
    <row r="17">
      <c r="A17" s="33" t="s">
        <v>3</v>
      </c>
      <c r="B17" s="33" t="s">
        <v>61</v>
      </c>
      <c r="C17" s="33">
        <v>81.0</v>
      </c>
      <c r="D17" s="34" t="s">
        <v>83</v>
      </c>
      <c r="E17" s="35">
        <v>0.9533449074074074</v>
      </c>
      <c r="F17" s="33" t="s">
        <v>84</v>
      </c>
      <c r="G17" s="33">
        <v>81.0</v>
      </c>
      <c r="H17" s="35">
        <v>0.9533449074074074</v>
      </c>
    </row>
    <row r="18">
      <c r="A18" s="33" t="s">
        <v>62</v>
      </c>
      <c r="B18" s="33" t="s">
        <v>63</v>
      </c>
      <c r="C18" s="33">
        <v>76.0</v>
      </c>
      <c r="D18" s="34" t="s">
        <v>85</v>
      </c>
      <c r="E18" s="36">
        <v>0.911261574074074</v>
      </c>
      <c r="F18" s="33" t="s">
        <v>86</v>
      </c>
      <c r="G18" s="33">
        <v>76.0</v>
      </c>
      <c r="H18" s="36">
        <v>0.911261574074074</v>
      </c>
    </row>
    <row r="19">
      <c r="A19" s="33" t="s">
        <v>64</v>
      </c>
      <c r="B19" s="33" t="s">
        <v>65</v>
      </c>
      <c r="C19" s="33">
        <v>81.0</v>
      </c>
      <c r="D19" s="34" t="s">
        <v>87</v>
      </c>
      <c r="E19" s="36">
        <v>0.9077662037037038</v>
      </c>
      <c r="F19" s="33" t="s">
        <v>88</v>
      </c>
      <c r="G19" s="33">
        <v>81.0</v>
      </c>
      <c r="H19" s="36">
        <v>0.9077662037037038</v>
      </c>
    </row>
    <row r="20">
      <c r="A20" s="33" t="s">
        <v>66</v>
      </c>
      <c r="B20" s="33" t="s">
        <v>65</v>
      </c>
      <c r="C20" s="33">
        <v>76.0</v>
      </c>
      <c r="D20" s="34" t="s">
        <v>89</v>
      </c>
      <c r="E20" s="36">
        <v>0.8291782407407408</v>
      </c>
      <c r="F20" s="33" t="s">
        <v>90</v>
      </c>
      <c r="G20" s="33">
        <v>76.0</v>
      </c>
      <c r="H20" s="36">
        <v>0.8291782407407408</v>
      </c>
    </row>
    <row r="21">
      <c r="A21" s="33" t="s">
        <v>67</v>
      </c>
      <c r="B21" s="33" t="s">
        <v>68</v>
      </c>
      <c r="C21" s="33">
        <v>79.0</v>
      </c>
      <c r="D21" s="34" t="s">
        <v>91</v>
      </c>
      <c r="E21" s="36">
        <v>0.777800925925926</v>
      </c>
      <c r="F21" s="33" t="s">
        <v>92</v>
      </c>
      <c r="G21" s="33">
        <v>79.0</v>
      </c>
      <c r="H21" s="36">
        <v>0.777800925925926</v>
      </c>
    </row>
    <row r="22">
      <c r="A22" s="33" t="s">
        <v>69</v>
      </c>
      <c r="B22" s="33" t="s">
        <v>70</v>
      </c>
      <c r="C22" s="33">
        <v>80.0</v>
      </c>
      <c r="D22" s="34" t="s">
        <v>93</v>
      </c>
      <c r="E22" s="36">
        <v>0.7530092592592592</v>
      </c>
      <c r="F22" s="33" t="s">
        <v>94</v>
      </c>
      <c r="G22" s="37">
        <v>80.0</v>
      </c>
      <c r="H22" s="36">
        <v>0.7530092592592592</v>
      </c>
    </row>
    <row r="23">
      <c r="A23" s="33" t="s">
        <v>2</v>
      </c>
      <c r="B23" s="33" t="s">
        <v>71</v>
      </c>
      <c r="C23" s="33">
        <v>76.0</v>
      </c>
      <c r="D23" s="34" t="s">
        <v>95</v>
      </c>
      <c r="E23" s="36">
        <v>0.7087847222222222</v>
      </c>
      <c r="F23" s="33" t="s">
        <v>96</v>
      </c>
      <c r="G23" s="33">
        <v>76.0</v>
      </c>
      <c r="H23" s="36">
        <v>0.7087847222222222</v>
      </c>
    </row>
    <row r="24">
      <c r="A24" s="33" t="s">
        <v>72</v>
      </c>
      <c r="B24" s="33" t="s">
        <v>73</v>
      </c>
      <c r="C24" s="33">
        <v>78.0</v>
      </c>
      <c r="D24" s="34" t="s">
        <v>97</v>
      </c>
      <c r="E24" s="36">
        <v>0.7077893518518519</v>
      </c>
      <c r="F24" s="33" t="s">
        <v>98</v>
      </c>
      <c r="G24" s="33">
        <v>78.0</v>
      </c>
      <c r="H24" s="36">
        <v>0.7077893518518519</v>
      </c>
    </row>
    <row r="25">
      <c r="A25" s="33" t="s">
        <v>74</v>
      </c>
      <c r="B25" s="33" t="s">
        <v>75</v>
      </c>
      <c r="C25" s="33">
        <v>75.0</v>
      </c>
      <c r="D25" s="34" t="s">
        <v>99</v>
      </c>
      <c r="E25" s="36">
        <v>0.6916782407407407</v>
      </c>
      <c r="F25" s="33" t="s">
        <v>100</v>
      </c>
      <c r="G25" s="33">
        <v>75.0</v>
      </c>
      <c r="H25" s="36">
        <v>0.6916782407407407</v>
      </c>
    </row>
    <row r="26">
      <c r="A26" s="33" t="s">
        <v>76</v>
      </c>
      <c r="B26" s="33" t="s">
        <v>77</v>
      </c>
      <c r="C26" s="33">
        <v>82.0</v>
      </c>
      <c r="D26" s="34" t="s">
        <v>101</v>
      </c>
      <c r="E26" s="36">
        <v>0.6887152777777777</v>
      </c>
      <c r="F26" s="33" t="s">
        <v>102</v>
      </c>
      <c r="G26" s="33">
        <v>82.0</v>
      </c>
      <c r="H26" s="36">
        <v>0.6887152777777777</v>
      </c>
    </row>
    <row r="27">
      <c r="D27" s="38"/>
    </row>
    <row r="28">
      <c r="D28" s="38"/>
    </row>
    <row r="29">
      <c r="A29" s="9" t="s">
        <v>59</v>
      </c>
      <c r="B29" s="9" t="s">
        <v>60</v>
      </c>
      <c r="C29" s="25" t="s">
        <v>7</v>
      </c>
      <c r="D29" s="25" t="s">
        <v>8</v>
      </c>
      <c r="E29" s="25" t="s">
        <v>9</v>
      </c>
      <c r="F29" s="25" t="s">
        <v>10</v>
      </c>
      <c r="G29" s="9" t="s">
        <v>7</v>
      </c>
      <c r="H29" s="9" t="s">
        <v>8</v>
      </c>
      <c r="I29" s="9" t="s">
        <v>9</v>
      </c>
      <c r="J29" s="9" t="s">
        <v>10</v>
      </c>
    </row>
    <row r="30">
      <c r="A30" s="9" t="s">
        <v>66</v>
      </c>
      <c r="B30" s="9" t="s">
        <v>65</v>
      </c>
      <c r="C30" s="25">
        <f t="shared" ref="C30:C39" si="6">SUM(D30:F30)</f>
        <v>1474</v>
      </c>
      <c r="D30" s="25">
        <v>733.0</v>
      </c>
      <c r="E30" s="25">
        <v>357.0</v>
      </c>
      <c r="F30" s="25">
        <v>384.0</v>
      </c>
      <c r="G30" s="39">
        <v>1.0</v>
      </c>
      <c r="H30" s="39">
        <v>0.4972862957937585</v>
      </c>
      <c r="I30" s="39">
        <v>0.24219810040705564</v>
      </c>
      <c r="J30" s="39">
        <v>0.26051560379918587</v>
      </c>
    </row>
    <row r="31">
      <c r="A31" s="9" t="s">
        <v>64</v>
      </c>
      <c r="B31" s="9" t="s">
        <v>65</v>
      </c>
      <c r="C31" s="25">
        <f t="shared" si="6"/>
        <v>1430</v>
      </c>
      <c r="D31" s="25">
        <v>731.0</v>
      </c>
      <c r="E31" s="25">
        <v>352.0</v>
      </c>
      <c r="F31" s="25">
        <v>347.0</v>
      </c>
      <c r="G31" s="39">
        <v>1.0</v>
      </c>
      <c r="H31" s="39">
        <v>0.5111888111888112</v>
      </c>
      <c r="I31" s="39">
        <v>0.24615384615384617</v>
      </c>
      <c r="J31" s="39">
        <v>0.24265734265734265</v>
      </c>
    </row>
    <row r="32">
      <c r="A32" s="9" t="s">
        <v>3</v>
      </c>
      <c r="B32" s="9" t="s">
        <v>61</v>
      </c>
      <c r="C32" s="25">
        <f t="shared" si="6"/>
        <v>1377</v>
      </c>
      <c r="D32" s="25">
        <v>701.0</v>
      </c>
      <c r="E32" s="25">
        <v>335.0</v>
      </c>
      <c r="F32" s="25">
        <v>341.0</v>
      </c>
      <c r="G32" s="39">
        <v>0.9999999999999999</v>
      </c>
      <c r="H32" s="39">
        <v>0.5090777051561365</v>
      </c>
      <c r="I32" s="39">
        <v>0.24328249818445896</v>
      </c>
      <c r="J32" s="39">
        <v>0.2476397966594045</v>
      </c>
    </row>
    <row r="33">
      <c r="A33" s="9" t="s">
        <v>62</v>
      </c>
      <c r="B33" s="9" t="s">
        <v>63</v>
      </c>
      <c r="C33" s="25">
        <f t="shared" si="6"/>
        <v>1163</v>
      </c>
      <c r="D33" s="25">
        <v>633.0</v>
      </c>
      <c r="E33" s="25">
        <v>240.0</v>
      </c>
      <c r="F33" s="25">
        <v>290.0</v>
      </c>
      <c r="G33" s="39">
        <v>1.0</v>
      </c>
      <c r="H33" s="39">
        <v>0.5442820292347378</v>
      </c>
      <c r="I33" s="39">
        <v>0.2063628546861565</v>
      </c>
      <c r="J33" s="39">
        <v>0.24935511607910577</v>
      </c>
    </row>
    <row r="34">
      <c r="A34" s="9" t="s">
        <v>72</v>
      </c>
      <c r="B34" s="9" t="s">
        <v>73</v>
      </c>
      <c r="C34" s="25">
        <f t="shared" si="6"/>
        <v>1132</v>
      </c>
      <c r="D34" s="25">
        <v>615.0</v>
      </c>
      <c r="E34" s="25">
        <v>238.0</v>
      </c>
      <c r="F34" s="25">
        <v>279.0</v>
      </c>
      <c r="G34" s="39">
        <v>1.0</v>
      </c>
      <c r="H34" s="39">
        <v>0.5432862190812721</v>
      </c>
      <c r="I34" s="39">
        <v>0.21024734982332155</v>
      </c>
      <c r="J34" s="39">
        <v>0.24646643109540636</v>
      </c>
    </row>
    <row r="35">
      <c r="A35" s="9" t="s">
        <v>67</v>
      </c>
      <c r="B35" s="9" t="s">
        <v>68</v>
      </c>
      <c r="C35" s="25">
        <f t="shared" si="6"/>
        <v>1064</v>
      </c>
      <c r="D35" s="25">
        <v>564.0</v>
      </c>
      <c r="E35" s="25">
        <v>224.0</v>
      </c>
      <c r="F35" s="25">
        <v>276.0</v>
      </c>
      <c r="G35" s="39">
        <v>1.0</v>
      </c>
      <c r="H35" s="39">
        <v>0.5300751879699248</v>
      </c>
      <c r="I35" s="39">
        <v>0.21052631578947367</v>
      </c>
      <c r="J35" s="39">
        <v>0.2593984962406015</v>
      </c>
    </row>
    <row r="36">
      <c r="A36" s="9" t="s">
        <v>69</v>
      </c>
      <c r="B36" s="9" t="s">
        <v>70</v>
      </c>
      <c r="C36" s="25">
        <f t="shared" si="6"/>
        <v>999</v>
      </c>
      <c r="D36" s="25">
        <v>538.0</v>
      </c>
      <c r="E36" s="25">
        <v>211.0</v>
      </c>
      <c r="F36" s="25">
        <v>250.0</v>
      </c>
      <c r="G36" s="39">
        <v>1.0</v>
      </c>
      <c r="H36" s="39">
        <v>0.5385385385385385</v>
      </c>
      <c r="I36" s="39">
        <v>0.21121121121121122</v>
      </c>
      <c r="J36" s="39">
        <v>0.2502502502502503</v>
      </c>
    </row>
    <row r="37">
      <c r="A37" s="9" t="s">
        <v>2</v>
      </c>
      <c r="B37" s="9" t="s">
        <v>71</v>
      </c>
      <c r="C37" s="25">
        <f t="shared" si="6"/>
        <v>976</v>
      </c>
      <c r="D37" s="25">
        <v>476.0</v>
      </c>
      <c r="E37" s="25">
        <v>240.0</v>
      </c>
      <c r="F37" s="25">
        <v>260.0</v>
      </c>
      <c r="G37" s="39">
        <v>1.0</v>
      </c>
      <c r="H37" s="39">
        <v>0.48770491803278687</v>
      </c>
      <c r="I37" s="39">
        <v>0.2459016393442623</v>
      </c>
      <c r="J37" s="39">
        <v>0.26639344262295084</v>
      </c>
    </row>
    <row r="38">
      <c r="A38" s="9" t="s">
        <v>76</v>
      </c>
      <c r="B38" s="9" t="s">
        <v>77</v>
      </c>
      <c r="C38" s="25">
        <f t="shared" si="6"/>
        <v>866</v>
      </c>
      <c r="D38" s="25">
        <v>456.0</v>
      </c>
      <c r="E38" s="25">
        <v>162.0</v>
      </c>
      <c r="F38" s="25">
        <v>248.0</v>
      </c>
      <c r="G38" s="39">
        <v>1.0</v>
      </c>
      <c r="H38" s="39">
        <v>0.5265588914549654</v>
      </c>
      <c r="I38" s="39">
        <v>0.18706697459584296</v>
      </c>
      <c r="J38" s="39">
        <v>0.2863741339491917</v>
      </c>
    </row>
    <row r="39">
      <c r="A39" s="9" t="s">
        <v>74</v>
      </c>
      <c r="B39" s="9" t="s">
        <v>75</v>
      </c>
      <c r="C39" s="25">
        <f t="shared" si="6"/>
        <v>792</v>
      </c>
      <c r="D39" s="25">
        <v>414.0</v>
      </c>
      <c r="E39" s="25">
        <v>174.0</v>
      </c>
      <c r="F39" s="25">
        <v>204.0</v>
      </c>
      <c r="G39" s="39">
        <v>1.0</v>
      </c>
      <c r="H39" s="39">
        <v>0.5227272727272727</v>
      </c>
      <c r="I39" s="39">
        <v>0.2196969696969697</v>
      </c>
      <c r="J39" s="39">
        <v>0.25757575757575757</v>
      </c>
    </row>
    <row r="41">
      <c r="A41" s="9" t="s">
        <v>59</v>
      </c>
      <c r="B41" s="9" t="s">
        <v>60</v>
      </c>
      <c r="C41" s="25" t="s">
        <v>7</v>
      </c>
      <c r="D41" s="25" t="s">
        <v>8</v>
      </c>
      <c r="E41" s="25" t="s">
        <v>9</v>
      </c>
      <c r="F41" s="25" t="s">
        <v>10</v>
      </c>
    </row>
    <row r="42">
      <c r="A42" s="9" t="s">
        <v>66</v>
      </c>
      <c r="B42" s="9" t="s">
        <v>65</v>
      </c>
      <c r="C42" s="40">
        <f t="shared" ref="C42:C51" si="7">SUM(D42:F42)</f>
        <v>1</v>
      </c>
      <c r="D42" s="40">
        <f t="shared" ref="D42:D51" si="8">D30/C30</f>
        <v>0.4972862958</v>
      </c>
      <c r="E42" s="40">
        <f t="shared" ref="E42:E51" si="9">E30/C30</f>
        <v>0.2421981004</v>
      </c>
      <c r="F42" s="40">
        <f t="shared" ref="F42:F51" si="10">F30/C30</f>
        <v>0.2605156038</v>
      </c>
    </row>
    <row r="43">
      <c r="A43" s="9" t="s">
        <v>64</v>
      </c>
      <c r="B43" s="9" t="s">
        <v>65</v>
      </c>
      <c r="C43" s="40">
        <f t="shared" si="7"/>
        <v>1</v>
      </c>
      <c r="D43" s="40">
        <f t="shared" si="8"/>
        <v>0.5111888112</v>
      </c>
      <c r="E43" s="40">
        <f t="shared" si="9"/>
        <v>0.2461538462</v>
      </c>
      <c r="F43" s="40">
        <f t="shared" si="10"/>
        <v>0.2426573427</v>
      </c>
    </row>
    <row r="44">
      <c r="A44" s="9" t="s">
        <v>3</v>
      </c>
      <c r="B44" s="9" t="s">
        <v>61</v>
      </c>
      <c r="C44" s="40">
        <f t="shared" si="7"/>
        <v>1</v>
      </c>
      <c r="D44" s="40">
        <f t="shared" si="8"/>
        <v>0.5090777052</v>
      </c>
      <c r="E44" s="40">
        <f t="shared" si="9"/>
        <v>0.2432824982</v>
      </c>
      <c r="F44" s="40">
        <f t="shared" si="10"/>
        <v>0.2476397967</v>
      </c>
    </row>
    <row r="45">
      <c r="A45" s="9" t="s">
        <v>62</v>
      </c>
      <c r="B45" s="9" t="s">
        <v>63</v>
      </c>
      <c r="C45" s="40">
        <f t="shared" si="7"/>
        <v>1</v>
      </c>
      <c r="D45" s="40">
        <f t="shared" si="8"/>
        <v>0.5442820292</v>
      </c>
      <c r="E45" s="40">
        <f t="shared" si="9"/>
        <v>0.2063628547</v>
      </c>
      <c r="F45" s="40">
        <f t="shared" si="10"/>
        <v>0.2493551161</v>
      </c>
    </row>
    <row r="46">
      <c r="A46" s="9" t="s">
        <v>72</v>
      </c>
      <c r="B46" s="9" t="s">
        <v>73</v>
      </c>
      <c r="C46" s="40">
        <f t="shared" si="7"/>
        <v>1</v>
      </c>
      <c r="D46" s="40">
        <f t="shared" si="8"/>
        <v>0.5432862191</v>
      </c>
      <c r="E46" s="40">
        <f t="shared" si="9"/>
        <v>0.2102473498</v>
      </c>
      <c r="F46" s="40">
        <f t="shared" si="10"/>
        <v>0.2464664311</v>
      </c>
    </row>
    <row r="47">
      <c r="A47" s="9" t="s">
        <v>67</v>
      </c>
      <c r="B47" s="9" t="s">
        <v>68</v>
      </c>
      <c r="C47" s="40">
        <f t="shared" si="7"/>
        <v>1</v>
      </c>
      <c r="D47" s="40">
        <f t="shared" si="8"/>
        <v>0.530075188</v>
      </c>
      <c r="E47" s="40">
        <f t="shared" si="9"/>
        <v>0.2105263158</v>
      </c>
      <c r="F47" s="40">
        <f t="shared" si="10"/>
        <v>0.2593984962</v>
      </c>
    </row>
    <row r="48">
      <c r="A48" s="9" t="s">
        <v>69</v>
      </c>
      <c r="B48" s="9" t="s">
        <v>70</v>
      </c>
      <c r="C48" s="40">
        <f t="shared" si="7"/>
        <v>1</v>
      </c>
      <c r="D48" s="40">
        <f t="shared" si="8"/>
        <v>0.5385385385</v>
      </c>
      <c r="E48" s="40">
        <f t="shared" si="9"/>
        <v>0.2112112112</v>
      </c>
      <c r="F48" s="40">
        <f t="shared" si="10"/>
        <v>0.2502502503</v>
      </c>
    </row>
    <row r="49">
      <c r="A49" s="9" t="s">
        <v>2</v>
      </c>
      <c r="B49" s="9" t="s">
        <v>71</v>
      </c>
      <c r="C49" s="40">
        <f t="shared" si="7"/>
        <v>1</v>
      </c>
      <c r="D49" s="40">
        <f t="shared" si="8"/>
        <v>0.487704918</v>
      </c>
      <c r="E49" s="40">
        <f t="shared" si="9"/>
        <v>0.2459016393</v>
      </c>
      <c r="F49" s="40">
        <f t="shared" si="10"/>
        <v>0.2663934426</v>
      </c>
    </row>
    <row r="50">
      <c r="A50" s="9" t="s">
        <v>76</v>
      </c>
      <c r="B50" s="9" t="s">
        <v>77</v>
      </c>
      <c r="C50" s="40">
        <f t="shared" si="7"/>
        <v>1</v>
      </c>
      <c r="D50" s="40">
        <f t="shared" si="8"/>
        <v>0.5265588915</v>
      </c>
      <c r="E50" s="40">
        <f t="shared" si="9"/>
        <v>0.1870669746</v>
      </c>
      <c r="F50" s="40">
        <f t="shared" si="10"/>
        <v>0.2863741339</v>
      </c>
    </row>
    <row r="51">
      <c r="A51" s="9" t="s">
        <v>74</v>
      </c>
      <c r="B51" s="9" t="s">
        <v>75</v>
      </c>
      <c r="C51" s="40">
        <f t="shared" si="7"/>
        <v>1</v>
      </c>
      <c r="D51" s="40">
        <f t="shared" si="8"/>
        <v>0.5227272727</v>
      </c>
      <c r="E51" s="40">
        <f t="shared" si="9"/>
        <v>0.2196969697</v>
      </c>
      <c r="F51" s="40">
        <f t="shared" si="10"/>
        <v>0.2575757576</v>
      </c>
    </row>
    <row r="53">
      <c r="A53" s="41" t="s">
        <v>59</v>
      </c>
      <c r="B53" s="41" t="s">
        <v>60</v>
      </c>
      <c r="C53" s="41" t="s">
        <v>11</v>
      </c>
      <c r="D53" s="41" t="s">
        <v>12</v>
      </c>
      <c r="E53" s="41" t="s">
        <v>13</v>
      </c>
      <c r="F53" s="41" t="s">
        <v>14</v>
      </c>
      <c r="G53" s="9" t="s">
        <v>11</v>
      </c>
      <c r="H53" s="9" t="s">
        <v>12</v>
      </c>
      <c r="I53" s="9" t="s">
        <v>13</v>
      </c>
      <c r="J53" s="9" t="s">
        <v>14</v>
      </c>
    </row>
    <row r="54">
      <c r="A54" s="9" t="s">
        <v>3</v>
      </c>
      <c r="B54" s="9" t="s">
        <v>61</v>
      </c>
      <c r="C54" s="41">
        <v>1148.0</v>
      </c>
      <c r="D54" s="41">
        <v>608.0</v>
      </c>
      <c r="E54" s="41">
        <v>241.0</v>
      </c>
      <c r="F54" s="41">
        <v>299.0</v>
      </c>
      <c r="G54" s="39">
        <v>1.0</v>
      </c>
      <c r="H54" s="39">
        <v>0.5296167247386759</v>
      </c>
      <c r="I54" s="39">
        <v>0.20993031358885017</v>
      </c>
      <c r="J54" s="39">
        <v>0.2604529616724739</v>
      </c>
    </row>
    <row r="55">
      <c r="A55" s="9" t="s">
        <v>62</v>
      </c>
      <c r="B55" s="9" t="s">
        <v>63</v>
      </c>
      <c r="C55" s="41">
        <v>1047.0</v>
      </c>
      <c r="D55" s="41">
        <v>542.0</v>
      </c>
      <c r="E55" s="41">
        <v>232.0</v>
      </c>
      <c r="F55" s="41">
        <v>273.0</v>
      </c>
      <c r="G55" s="39">
        <v>1.0</v>
      </c>
      <c r="H55" s="39">
        <v>0.5176695319961796</v>
      </c>
      <c r="I55" s="39">
        <v>0.22158548233046801</v>
      </c>
      <c r="J55" s="39">
        <v>0.2607449856733524</v>
      </c>
    </row>
    <row r="56">
      <c r="A56" s="9" t="s">
        <v>64</v>
      </c>
      <c r="B56" s="9" t="s">
        <v>65</v>
      </c>
      <c r="C56" s="41">
        <v>1003.0</v>
      </c>
      <c r="D56" s="41">
        <v>571.0</v>
      </c>
      <c r="E56" s="41">
        <v>210.0</v>
      </c>
      <c r="F56" s="41">
        <v>222.0</v>
      </c>
      <c r="G56" s="39">
        <v>1.0</v>
      </c>
      <c r="H56" s="39">
        <v>0.5692921236291126</v>
      </c>
      <c r="I56" s="39">
        <v>0.20937188434695914</v>
      </c>
      <c r="J56" s="39">
        <v>0.2213359920239282</v>
      </c>
    </row>
    <row r="57">
      <c r="A57" s="9" t="s">
        <v>67</v>
      </c>
      <c r="B57" s="9" t="s">
        <v>68</v>
      </c>
      <c r="C57" s="41">
        <v>1003.0</v>
      </c>
      <c r="D57" s="41">
        <v>514.0</v>
      </c>
      <c r="E57" s="41">
        <v>208.0</v>
      </c>
      <c r="F57" s="41">
        <v>281.0</v>
      </c>
      <c r="G57" s="39">
        <v>1.0</v>
      </c>
      <c r="H57" s="39">
        <v>0.5124626121635095</v>
      </c>
      <c r="I57" s="39">
        <v>0.2073778664007976</v>
      </c>
      <c r="J57" s="39">
        <v>0.28015952143569295</v>
      </c>
    </row>
    <row r="58">
      <c r="A58" s="9" t="s">
        <v>69</v>
      </c>
      <c r="B58" s="9" t="s">
        <v>70</v>
      </c>
      <c r="C58" s="41">
        <v>986.0</v>
      </c>
      <c r="D58" s="41">
        <v>560.0</v>
      </c>
      <c r="E58" s="41">
        <v>206.0</v>
      </c>
      <c r="F58" s="41">
        <v>220.0</v>
      </c>
      <c r="G58" s="39">
        <v>1.0</v>
      </c>
      <c r="H58" s="39">
        <v>0.5679513184584178</v>
      </c>
      <c r="I58" s="39">
        <v>0.20892494929006086</v>
      </c>
      <c r="J58" s="39">
        <v>0.2231237322515213</v>
      </c>
    </row>
    <row r="59">
      <c r="A59" s="9" t="s">
        <v>2</v>
      </c>
      <c r="B59" s="9" t="s">
        <v>71</v>
      </c>
      <c r="C59" s="41">
        <v>985.0</v>
      </c>
      <c r="D59" s="41">
        <v>474.0</v>
      </c>
      <c r="E59" s="41">
        <v>201.0</v>
      </c>
      <c r="F59" s="41">
        <v>310.0</v>
      </c>
      <c r="G59" s="39">
        <v>1.0</v>
      </c>
      <c r="H59" s="39">
        <v>0.4812182741116751</v>
      </c>
      <c r="I59" s="39">
        <v>0.20406091370558377</v>
      </c>
      <c r="J59" s="39">
        <v>0.3147208121827411</v>
      </c>
    </row>
    <row r="60">
      <c r="A60" s="9" t="s">
        <v>76</v>
      </c>
      <c r="B60" s="9" t="s">
        <v>77</v>
      </c>
      <c r="C60" s="41">
        <v>968.0</v>
      </c>
      <c r="D60" s="41">
        <v>499.0</v>
      </c>
      <c r="E60" s="41">
        <v>204.0</v>
      </c>
      <c r="F60" s="41">
        <v>265.0</v>
      </c>
      <c r="G60" s="39">
        <v>1.0</v>
      </c>
      <c r="H60" s="39">
        <v>0.515495867768595</v>
      </c>
      <c r="I60" s="39">
        <v>0.21074380165289255</v>
      </c>
      <c r="J60" s="39">
        <v>0.2737603305785124</v>
      </c>
    </row>
    <row r="61">
      <c r="A61" s="9" t="s">
        <v>72</v>
      </c>
      <c r="B61" s="9" t="s">
        <v>73</v>
      </c>
      <c r="C61" s="41">
        <v>945.0</v>
      </c>
      <c r="D61" s="41">
        <v>482.0</v>
      </c>
      <c r="E61" s="41">
        <v>220.0</v>
      </c>
      <c r="F61" s="41">
        <v>243.0</v>
      </c>
      <c r="G61" s="39">
        <v>1.0</v>
      </c>
      <c r="H61" s="39">
        <v>0.5100529100529101</v>
      </c>
      <c r="I61" s="39">
        <v>0.2328042328042328</v>
      </c>
      <c r="J61" s="39">
        <v>0.2571428571428571</v>
      </c>
    </row>
    <row r="62">
      <c r="A62" s="9" t="s">
        <v>74</v>
      </c>
      <c r="B62" s="9" t="s">
        <v>75</v>
      </c>
      <c r="C62" s="41">
        <v>928.0</v>
      </c>
      <c r="D62" s="41">
        <v>513.0</v>
      </c>
      <c r="E62" s="41">
        <v>182.0</v>
      </c>
      <c r="F62" s="41">
        <v>233.0</v>
      </c>
      <c r="G62" s="39">
        <v>1.0</v>
      </c>
      <c r="H62" s="39">
        <v>0.552801724137931</v>
      </c>
      <c r="I62" s="39">
        <v>0.1961206896551724</v>
      </c>
      <c r="J62" s="39">
        <v>0.2510775862068966</v>
      </c>
    </row>
    <row r="63">
      <c r="A63" s="9" t="s">
        <v>66</v>
      </c>
      <c r="B63" s="9" t="s">
        <v>65</v>
      </c>
      <c r="C63" s="41">
        <v>903.0</v>
      </c>
      <c r="D63" s="41">
        <v>506.0</v>
      </c>
      <c r="E63" s="41">
        <v>202.0</v>
      </c>
      <c r="F63" s="41">
        <v>195.0</v>
      </c>
      <c r="G63" s="39">
        <v>1.0</v>
      </c>
      <c r="H63" s="39">
        <v>0.5603543743078627</v>
      </c>
      <c r="I63" s="39">
        <v>0.22369878183831673</v>
      </c>
      <c r="J63" s="39">
        <v>0.2159468438538206</v>
      </c>
    </row>
    <row r="65">
      <c r="A65" s="9" t="s">
        <v>59</v>
      </c>
      <c r="B65" s="9" t="s">
        <v>60</v>
      </c>
      <c r="C65" s="41" t="s">
        <v>11</v>
      </c>
      <c r="D65" s="41" t="s">
        <v>12</v>
      </c>
      <c r="E65" s="41" t="s">
        <v>13</v>
      </c>
      <c r="F65" s="41" t="s">
        <v>14</v>
      </c>
    </row>
    <row r="66">
      <c r="A66" s="9" t="s">
        <v>3</v>
      </c>
      <c r="B66" s="9" t="s">
        <v>61</v>
      </c>
      <c r="C66" s="42">
        <f t="shared" ref="C66:C75" si="11">SUM(D66:F66)</f>
        <v>1</v>
      </c>
      <c r="D66" s="42">
        <f t="shared" ref="D66:D75" si="12">D54/C54</f>
        <v>0.5296167247</v>
      </c>
      <c r="E66" s="42">
        <f t="shared" ref="E66:E75" si="13">E54/C54</f>
        <v>0.2099303136</v>
      </c>
      <c r="F66" s="42">
        <f t="shared" ref="F66:F75" si="14">F54/C54</f>
        <v>0.2604529617</v>
      </c>
    </row>
    <row r="67">
      <c r="A67" s="9" t="s">
        <v>62</v>
      </c>
      <c r="B67" s="9" t="s">
        <v>63</v>
      </c>
      <c r="C67" s="42">
        <f t="shared" si="11"/>
        <v>1</v>
      </c>
      <c r="D67" s="42">
        <f t="shared" si="12"/>
        <v>0.517669532</v>
      </c>
      <c r="E67" s="42">
        <f t="shared" si="13"/>
        <v>0.2215854823</v>
      </c>
      <c r="F67" s="42">
        <f t="shared" si="14"/>
        <v>0.2607449857</v>
      </c>
    </row>
    <row r="68">
      <c r="A68" s="9" t="s">
        <v>64</v>
      </c>
      <c r="B68" s="9" t="s">
        <v>65</v>
      </c>
      <c r="C68" s="42">
        <f t="shared" si="11"/>
        <v>1</v>
      </c>
      <c r="D68" s="42">
        <f t="shared" si="12"/>
        <v>0.5692921236</v>
      </c>
      <c r="E68" s="42">
        <f t="shared" si="13"/>
        <v>0.2093718843</v>
      </c>
      <c r="F68" s="42">
        <f t="shared" si="14"/>
        <v>0.221335992</v>
      </c>
    </row>
    <row r="69">
      <c r="A69" s="9" t="s">
        <v>67</v>
      </c>
      <c r="B69" s="9" t="s">
        <v>68</v>
      </c>
      <c r="C69" s="42">
        <f t="shared" si="11"/>
        <v>1</v>
      </c>
      <c r="D69" s="42">
        <f t="shared" si="12"/>
        <v>0.5124626122</v>
      </c>
      <c r="E69" s="42">
        <f t="shared" si="13"/>
        <v>0.2073778664</v>
      </c>
      <c r="F69" s="42">
        <f t="shared" si="14"/>
        <v>0.2801595214</v>
      </c>
    </row>
    <row r="70">
      <c r="A70" s="9" t="s">
        <v>69</v>
      </c>
      <c r="B70" s="9" t="s">
        <v>70</v>
      </c>
      <c r="C70" s="42">
        <f t="shared" si="11"/>
        <v>1</v>
      </c>
      <c r="D70" s="42">
        <f t="shared" si="12"/>
        <v>0.5679513185</v>
      </c>
      <c r="E70" s="42">
        <f t="shared" si="13"/>
        <v>0.2089249493</v>
      </c>
      <c r="F70" s="42">
        <f t="shared" si="14"/>
        <v>0.2231237323</v>
      </c>
    </row>
    <row r="71">
      <c r="A71" s="9" t="s">
        <v>2</v>
      </c>
      <c r="B71" s="9" t="s">
        <v>71</v>
      </c>
      <c r="C71" s="42">
        <f t="shared" si="11"/>
        <v>1</v>
      </c>
      <c r="D71" s="42">
        <f t="shared" si="12"/>
        <v>0.4812182741</v>
      </c>
      <c r="E71" s="42">
        <f t="shared" si="13"/>
        <v>0.2040609137</v>
      </c>
      <c r="F71" s="42">
        <f t="shared" si="14"/>
        <v>0.3147208122</v>
      </c>
    </row>
    <row r="72">
      <c r="A72" s="9" t="s">
        <v>76</v>
      </c>
      <c r="B72" s="9" t="s">
        <v>77</v>
      </c>
      <c r="C72" s="42">
        <f t="shared" si="11"/>
        <v>1</v>
      </c>
      <c r="D72" s="42">
        <f t="shared" si="12"/>
        <v>0.5154958678</v>
      </c>
      <c r="E72" s="42">
        <f t="shared" si="13"/>
        <v>0.2107438017</v>
      </c>
      <c r="F72" s="42">
        <f t="shared" si="14"/>
        <v>0.2737603306</v>
      </c>
    </row>
    <row r="73">
      <c r="A73" s="9" t="s">
        <v>72</v>
      </c>
      <c r="B73" s="9" t="s">
        <v>73</v>
      </c>
      <c r="C73" s="42">
        <f t="shared" si="11"/>
        <v>1</v>
      </c>
      <c r="D73" s="42">
        <f t="shared" si="12"/>
        <v>0.5100529101</v>
      </c>
      <c r="E73" s="42">
        <f t="shared" si="13"/>
        <v>0.2328042328</v>
      </c>
      <c r="F73" s="42">
        <f t="shared" si="14"/>
        <v>0.2571428571</v>
      </c>
    </row>
    <row r="74">
      <c r="A74" s="9" t="s">
        <v>74</v>
      </c>
      <c r="B74" s="9" t="s">
        <v>75</v>
      </c>
      <c r="C74" s="42">
        <f t="shared" si="11"/>
        <v>1</v>
      </c>
      <c r="D74" s="42">
        <f t="shared" si="12"/>
        <v>0.5528017241</v>
      </c>
      <c r="E74" s="42">
        <f t="shared" si="13"/>
        <v>0.1961206897</v>
      </c>
      <c r="F74" s="42">
        <f t="shared" si="14"/>
        <v>0.2510775862</v>
      </c>
    </row>
    <row r="75">
      <c r="A75" s="9" t="s">
        <v>66</v>
      </c>
      <c r="B75" s="9" t="s">
        <v>65</v>
      </c>
      <c r="C75" s="42">
        <f t="shared" si="11"/>
        <v>1</v>
      </c>
      <c r="D75" s="42">
        <f t="shared" si="12"/>
        <v>0.5603543743</v>
      </c>
      <c r="E75" s="42">
        <f t="shared" si="13"/>
        <v>0.2236987818</v>
      </c>
      <c r="F75" s="42">
        <f t="shared" si="14"/>
        <v>0.2159468439</v>
      </c>
    </row>
    <row r="77">
      <c r="A77" s="9" t="s">
        <v>59</v>
      </c>
      <c r="B77" s="9" t="s">
        <v>60</v>
      </c>
      <c r="C77" s="28" t="s">
        <v>22</v>
      </c>
      <c r="D77" s="28" t="s">
        <v>23</v>
      </c>
      <c r="E77" s="28" t="s">
        <v>24</v>
      </c>
      <c r="F77" s="9" t="s">
        <v>103</v>
      </c>
    </row>
    <row r="78">
      <c r="A78" s="9" t="s">
        <v>3</v>
      </c>
      <c r="B78" s="9" t="s">
        <v>61</v>
      </c>
      <c r="C78" s="28">
        <v>609.0</v>
      </c>
      <c r="D78" s="28">
        <v>178.0</v>
      </c>
      <c r="E78" s="28">
        <v>62.0</v>
      </c>
      <c r="F78" s="43">
        <f t="shared" ref="F78:F87" si="15">SUM(C78:E78)</f>
        <v>849</v>
      </c>
    </row>
    <row r="79">
      <c r="A79" s="9" t="s">
        <v>64</v>
      </c>
      <c r="B79" s="9" t="s">
        <v>65</v>
      </c>
      <c r="C79" s="28">
        <v>570.0</v>
      </c>
      <c r="D79" s="28">
        <v>166.0</v>
      </c>
      <c r="E79" s="28">
        <v>45.0</v>
      </c>
      <c r="F79" s="43">
        <f t="shared" si="15"/>
        <v>781</v>
      </c>
    </row>
    <row r="80">
      <c r="A80" s="9" t="s">
        <v>62</v>
      </c>
      <c r="B80" s="9" t="s">
        <v>63</v>
      </c>
      <c r="C80" s="28">
        <v>543.0</v>
      </c>
      <c r="D80" s="28">
        <v>180.0</v>
      </c>
      <c r="E80" s="28">
        <v>51.0</v>
      </c>
      <c r="F80" s="43">
        <f t="shared" si="15"/>
        <v>774</v>
      </c>
    </row>
    <row r="81">
      <c r="A81" s="9" t="s">
        <v>69</v>
      </c>
      <c r="B81" s="9" t="s">
        <v>70</v>
      </c>
      <c r="C81" s="28">
        <v>569.0</v>
      </c>
      <c r="D81" s="28">
        <v>157.0</v>
      </c>
      <c r="E81" s="28">
        <v>40.0</v>
      </c>
      <c r="F81" s="43">
        <f t="shared" si="15"/>
        <v>766</v>
      </c>
    </row>
    <row r="82">
      <c r="A82" s="9" t="s">
        <v>67</v>
      </c>
      <c r="B82" s="9" t="s">
        <v>68</v>
      </c>
      <c r="C82" s="28">
        <v>515.0</v>
      </c>
      <c r="D82" s="28">
        <v>159.0</v>
      </c>
      <c r="E82" s="28">
        <v>48.0</v>
      </c>
      <c r="F82" s="43">
        <f t="shared" si="15"/>
        <v>722</v>
      </c>
    </row>
    <row r="83">
      <c r="A83" s="9" t="s">
        <v>66</v>
      </c>
      <c r="B83" s="9" t="s">
        <v>65</v>
      </c>
      <c r="C83" s="28">
        <v>524.0</v>
      </c>
      <c r="D83" s="28">
        <v>153.0</v>
      </c>
      <c r="E83" s="28">
        <v>31.0</v>
      </c>
      <c r="F83" s="43">
        <f t="shared" si="15"/>
        <v>708</v>
      </c>
    </row>
    <row r="84">
      <c r="A84" s="9" t="s">
        <v>76</v>
      </c>
      <c r="B84" s="9" t="s">
        <v>77</v>
      </c>
      <c r="C84" s="28">
        <v>539.0</v>
      </c>
      <c r="D84" s="28">
        <v>127.0</v>
      </c>
      <c r="E84" s="28">
        <v>37.0</v>
      </c>
      <c r="F84" s="43">
        <f t="shared" si="15"/>
        <v>703</v>
      </c>
    </row>
    <row r="85">
      <c r="A85" s="9" t="s">
        <v>72</v>
      </c>
      <c r="B85" s="9" t="s">
        <v>73</v>
      </c>
      <c r="C85" s="28">
        <v>527.0</v>
      </c>
      <c r="D85" s="28">
        <v>138.0</v>
      </c>
      <c r="E85" s="28">
        <v>37.0</v>
      </c>
      <c r="F85" s="43">
        <f t="shared" si="15"/>
        <v>702</v>
      </c>
    </row>
    <row r="86">
      <c r="A86" s="9" t="s">
        <v>74</v>
      </c>
      <c r="B86" s="9" t="s">
        <v>75</v>
      </c>
      <c r="C86" s="28">
        <v>512.0</v>
      </c>
      <c r="D86" s="28">
        <v>142.0</v>
      </c>
      <c r="E86" s="28">
        <v>41.0</v>
      </c>
      <c r="F86" s="43">
        <f t="shared" si="15"/>
        <v>695</v>
      </c>
    </row>
    <row r="87">
      <c r="A87" s="9" t="s">
        <v>2</v>
      </c>
      <c r="B87" s="9" t="s">
        <v>71</v>
      </c>
      <c r="C87" s="28">
        <v>529.0</v>
      </c>
      <c r="D87" s="28">
        <v>125.0</v>
      </c>
      <c r="E87" s="28">
        <v>21.0</v>
      </c>
      <c r="F87" s="43">
        <f t="shared" si="15"/>
        <v>675</v>
      </c>
    </row>
    <row r="89">
      <c r="A89" s="9" t="s">
        <v>59</v>
      </c>
      <c r="B89" s="9" t="s">
        <v>60</v>
      </c>
      <c r="C89" s="28" t="s">
        <v>22</v>
      </c>
      <c r="D89" s="28" t="s">
        <v>23</v>
      </c>
      <c r="E89" s="28" t="s">
        <v>24</v>
      </c>
      <c r="F89" s="9" t="s">
        <v>104</v>
      </c>
    </row>
    <row r="90">
      <c r="A90" s="9" t="s">
        <v>2</v>
      </c>
      <c r="B90" s="9" t="s">
        <v>71</v>
      </c>
      <c r="C90" s="44">
        <f t="shared" ref="C90:C99" si="16">C78/F78</f>
        <v>0.7173144876</v>
      </c>
      <c r="D90" s="44">
        <f t="shared" ref="D90:D99" si="17">D78/F78</f>
        <v>0.2096584217</v>
      </c>
      <c r="E90" s="44">
        <f t="shared" ref="E90:E99" si="18">E78/F78</f>
        <v>0.07302709069</v>
      </c>
      <c r="F90" s="45">
        <f t="shared" ref="F90:F99" si="19">SUM(C90:E90)</f>
        <v>1</v>
      </c>
    </row>
    <row r="91">
      <c r="A91" s="9" t="s">
        <v>69</v>
      </c>
      <c r="B91" s="9" t="s">
        <v>70</v>
      </c>
      <c r="C91" s="44">
        <f t="shared" si="16"/>
        <v>0.7298335467</v>
      </c>
      <c r="D91" s="44">
        <f t="shared" si="17"/>
        <v>0.2125480154</v>
      </c>
      <c r="E91" s="44">
        <f t="shared" si="18"/>
        <v>0.0576184379</v>
      </c>
      <c r="F91" s="45">
        <f t="shared" si="19"/>
        <v>1</v>
      </c>
    </row>
    <row r="92">
      <c r="A92" s="9" t="s">
        <v>72</v>
      </c>
      <c r="B92" s="9" t="s">
        <v>73</v>
      </c>
      <c r="C92" s="44">
        <f t="shared" si="16"/>
        <v>0.7015503876</v>
      </c>
      <c r="D92" s="44">
        <f t="shared" si="17"/>
        <v>0.2325581395</v>
      </c>
      <c r="E92" s="44">
        <f t="shared" si="18"/>
        <v>0.06589147287</v>
      </c>
      <c r="F92" s="45">
        <f t="shared" si="19"/>
        <v>1</v>
      </c>
    </row>
    <row r="93">
      <c r="A93" s="9" t="s">
        <v>67</v>
      </c>
      <c r="B93" s="9" t="s">
        <v>68</v>
      </c>
      <c r="C93" s="44">
        <f t="shared" si="16"/>
        <v>0.7428198433</v>
      </c>
      <c r="D93" s="44">
        <f t="shared" si="17"/>
        <v>0.2049608355</v>
      </c>
      <c r="E93" s="44">
        <f t="shared" si="18"/>
        <v>0.05221932115</v>
      </c>
      <c r="F93" s="45">
        <f t="shared" si="19"/>
        <v>1</v>
      </c>
    </row>
    <row r="94">
      <c r="A94" s="9" t="s">
        <v>74</v>
      </c>
      <c r="B94" s="9" t="s">
        <v>75</v>
      </c>
      <c r="C94" s="44">
        <f t="shared" si="16"/>
        <v>0.7132963989</v>
      </c>
      <c r="D94" s="44">
        <f t="shared" si="17"/>
        <v>0.2202216066</v>
      </c>
      <c r="E94" s="44">
        <f t="shared" si="18"/>
        <v>0.06648199446</v>
      </c>
      <c r="F94" s="45">
        <f t="shared" si="19"/>
        <v>1</v>
      </c>
    </row>
    <row r="95">
      <c r="A95" s="9" t="s">
        <v>62</v>
      </c>
      <c r="B95" s="9" t="s">
        <v>63</v>
      </c>
      <c r="C95" s="44">
        <f t="shared" si="16"/>
        <v>0.7401129944</v>
      </c>
      <c r="D95" s="44">
        <f t="shared" si="17"/>
        <v>0.2161016949</v>
      </c>
      <c r="E95" s="44">
        <f t="shared" si="18"/>
        <v>0.04378531073</v>
      </c>
      <c r="F95" s="45">
        <f t="shared" si="19"/>
        <v>1</v>
      </c>
    </row>
    <row r="96">
      <c r="A96" s="9" t="s">
        <v>66</v>
      </c>
      <c r="B96" s="9" t="s">
        <v>65</v>
      </c>
      <c r="C96" s="44">
        <f t="shared" si="16"/>
        <v>0.7667140825</v>
      </c>
      <c r="D96" s="44">
        <f t="shared" si="17"/>
        <v>0.1806543385</v>
      </c>
      <c r="E96" s="44">
        <f t="shared" si="18"/>
        <v>0.05263157895</v>
      </c>
      <c r="F96" s="45">
        <f t="shared" si="19"/>
        <v>1</v>
      </c>
    </row>
    <row r="97">
      <c r="A97" s="9" t="s">
        <v>76</v>
      </c>
      <c r="B97" s="9" t="s">
        <v>77</v>
      </c>
      <c r="C97" s="44">
        <f t="shared" si="16"/>
        <v>0.7507122507</v>
      </c>
      <c r="D97" s="44">
        <f t="shared" si="17"/>
        <v>0.1965811966</v>
      </c>
      <c r="E97" s="44">
        <f t="shared" si="18"/>
        <v>0.05270655271</v>
      </c>
      <c r="F97" s="45">
        <f t="shared" si="19"/>
        <v>1</v>
      </c>
    </row>
    <row r="98">
      <c r="A98" s="9" t="s">
        <v>64</v>
      </c>
      <c r="B98" s="9" t="s">
        <v>65</v>
      </c>
      <c r="C98" s="44">
        <f t="shared" si="16"/>
        <v>0.7366906475</v>
      </c>
      <c r="D98" s="44">
        <f t="shared" si="17"/>
        <v>0.2043165468</v>
      </c>
      <c r="E98" s="44">
        <f t="shared" si="18"/>
        <v>0.05899280576</v>
      </c>
      <c r="F98" s="45">
        <f t="shared" si="19"/>
        <v>1</v>
      </c>
    </row>
    <row r="99">
      <c r="A99" s="9" t="s">
        <v>3</v>
      </c>
      <c r="B99" s="9" t="s">
        <v>61</v>
      </c>
      <c r="C99" s="44">
        <f t="shared" si="16"/>
        <v>0.7837037037</v>
      </c>
      <c r="D99" s="44">
        <f t="shared" si="17"/>
        <v>0.1851851852</v>
      </c>
      <c r="E99" s="44">
        <f t="shared" si="18"/>
        <v>0.03111111111</v>
      </c>
      <c r="F99" s="45">
        <f t="shared" si="19"/>
        <v>1</v>
      </c>
    </row>
    <row r="101">
      <c r="A101" s="41" t="s">
        <v>59</v>
      </c>
      <c r="B101" s="41" t="s">
        <v>60</v>
      </c>
      <c r="C101" s="41" t="s">
        <v>25</v>
      </c>
      <c r="D101" s="41" t="s">
        <v>26</v>
      </c>
      <c r="E101" s="41" t="s">
        <v>27</v>
      </c>
      <c r="F101" s="41" t="s">
        <v>28</v>
      </c>
      <c r="G101" s="41" t="s">
        <v>29</v>
      </c>
      <c r="H101" s="41" t="s">
        <v>30</v>
      </c>
      <c r="I101" s="9" t="s">
        <v>105</v>
      </c>
      <c r="J101" s="9" t="s">
        <v>106</v>
      </c>
    </row>
    <row r="102">
      <c r="A102" s="41" t="s">
        <v>3</v>
      </c>
      <c r="B102" s="41" t="s">
        <v>61</v>
      </c>
      <c r="C102" s="41">
        <v>63.92</v>
      </c>
      <c r="D102" s="41">
        <v>57.35</v>
      </c>
      <c r="E102" s="41">
        <v>80.0</v>
      </c>
      <c r="F102" s="41">
        <v>60.0</v>
      </c>
      <c r="G102" s="46">
        <v>3.4964610472386455</v>
      </c>
      <c r="H102" s="46">
        <v>2.622345785428984</v>
      </c>
      <c r="I102" s="43">
        <f t="shared" ref="I102:J102" si="20">E102-C102</f>
        <v>16.08</v>
      </c>
      <c r="J102" s="43">
        <f t="shared" si="20"/>
        <v>2.65</v>
      </c>
    </row>
    <row r="103">
      <c r="A103" s="41" t="s">
        <v>62</v>
      </c>
      <c r="B103" s="41" t="s">
        <v>63</v>
      </c>
      <c r="C103" s="41">
        <v>57.62</v>
      </c>
      <c r="D103" s="41">
        <v>52.24</v>
      </c>
      <c r="E103" s="41">
        <v>53.0</v>
      </c>
      <c r="F103" s="41">
        <v>44.0</v>
      </c>
      <c r="G103" s="46">
        <v>2.423380285267931</v>
      </c>
      <c r="H103" s="46">
        <v>2.011862878335641</v>
      </c>
      <c r="I103" s="43">
        <f t="shared" ref="I103:J103" si="21">E103-C103</f>
        <v>-4.62</v>
      </c>
      <c r="J103" s="43">
        <f t="shared" si="21"/>
        <v>-8.24</v>
      </c>
    </row>
    <row r="104">
      <c r="A104" s="41" t="s">
        <v>64</v>
      </c>
      <c r="B104" s="41" t="s">
        <v>65</v>
      </c>
      <c r="C104" s="41">
        <v>65.21</v>
      </c>
      <c r="D104" s="41">
        <v>48.88</v>
      </c>
      <c r="E104" s="41">
        <v>56.0</v>
      </c>
      <c r="F104" s="41">
        <v>49.0</v>
      </c>
      <c r="G104" s="46">
        <v>2.570412209457995</v>
      </c>
      <c r="H104" s="46">
        <v>2.2491106832757457</v>
      </c>
      <c r="I104" s="43">
        <f t="shared" ref="I104:J104" si="22">E104-C104</f>
        <v>-9.21</v>
      </c>
      <c r="J104" s="43">
        <f t="shared" si="22"/>
        <v>0.12</v>
      </c>
    </row>
    <row r="105">
      <c r="A105" s="41" t="s">
        <v>66</v>
      </c>
      <c r="B105" s="41" t="s">
        <v>65</v>
      </c>
      <c r="C105" s="41">
        <v>67.19</v>
      </c>
      <c r="D105" s="41">
        <v>41.7</v>
      </c>
      <c r="E105" s="41">
        <v>52.0</v>
      </c>
      <c r="F105" s="41">
        <v>39.0</v>
      </c>
      <c r="G105" s="46">
        <v>2.6130288521935765</v>
      </c>
      <c r="H105" s="46">
        <v>1.959771639145182</v>
      </c>
      <c r="I105" s="43">
        <f t="shared" ref="I105:J105" si="23">E105-C105</f>
        <v>-15.19</v>
      </c>
      <c r="J105" s="43">
        <f t="shared" si="23"/>
        <v>-2.7</v>
      </c>
    </row>
    <row r="106">
      <c r="A106" s="41" t="s">
        <v>67</v>
      </c>
      <c r="B106" s="41" t="s">
        <v>68</v>
      </c>
      <c r="C106" s="41">
        <v>44.83</v>
      </c>
      <c r="D106" s="41">
        <v>47.63</v>
      </c>
      <c r="E106" s="41">
        <v>48.0</v>
      </c>
      <c r="F106" s="41">
        <v>55.0</v>
      </c>
      <c r="G106" s="46">
        <v>2.5713520430939556</v>
      </c>
      <c r="H106" s="46">
        <v>2.946340882711824</v>
      </c>
      <c r="I106" s="43">
        <f t="shared" ref="I106:J106" si="24">E106-C106</f>
        <v>3.17</v>
      </c>
      <c r="J106" s="43">
        <f t="shared" si="24"/>
        <v>7.37</v>
      </c>
    </row>
    <row r="107">
      <c r="A107" s="41" t="s">
        <v>69</v>
      </c>
      <c r="B107" s="41" t="s">
        <v>70</v>
      </c>
      <c r="C107" s="41">
        <v>49.95</v>
      </c>
      <c r="D107" s="41">
        <v>48.83</v>
      </c>
      <c r="E107" s="41">
        <v>46.0</v>
      </c>
      <c r="F107" s="41">
        <v>48.0</v>
      </c>
      <c r="G107" s="46">
        <v>2.545342760528743</v>
      </c>
      <c r="H107" s="46">
        <v>2.6560098370734706</v>
      </c>
      <c r="I107" s="43">
        <f t="shared" ref="I107:J107" si="25">E107-C107</f>
        <v>-3.95</v>
      </c>
      <c r="J107" s="43">
        <f t="shared" si="25"/>
        <v>-0.83</v>
      </c>
    </row>
    <row r="108">
      <c r="A108" s="41" t="s">
        <v>2</v>
      </c>
      <c r="B108" s="41" t="s">
        <v>71</v>
      </c>
      <c r="C108" s="41">
        <v>42.27</v>
      </c>
      <c r="D108" s="41">
        <v>36.82</v>
      </c>
      <c r="E108" s="41">
        <v>43.0</v>
      </c>
      <c r="F108" s="41">
        <v>28.0</v>
      </c>
      <c r="G108" s="46">
        <v>2.5278009111840496</v>
      </c>
      <c r="H108" s="46">
        <v>1.6460098956547298</v>
      </c>
      <c r="I108" s="43">
        <f t="shared" ref="I108:J108" si="26">E108-C108</f>
        <v>0.73</v>
      </c>
      <c r="J108" s="43">
        <f t="shared" si="26"/>
        <v>-8.82</v>
      </c>
    </row>
    <row r="109">
      <c r="A109" s="41" t="s">
        <v>72</v>
      </c>
      <c r="B109" s="41" t="s">
        <v>73</v>
      </c>
      <c r="C109" s="41">
        <v>51.55</v>
      </c>
      <c r="D109" s="41">
        <v>41.31</v>
      </c>
      <c r="E109" s="41">
        <v>61.0</v>
      </c>
      <c r="F109" s="41">
        <v>38.0</v>
      </c>
      <c r="G109" s="46">
        <v>3.5909930829231604</v>
      </c>
      <c r="H109" s="46">
        <v>2.237012084443936</v>
      </c>
      <c r="I109" s="43">
        <f t="shared" ref="I109:J109" si="27">E109-C109</f>
        <v>9.45</v>
      </c>
      <c r="J109" s="43">
        <f t="shared" si="27"/>
        <v>-3.31</v>
      </c>
    </row>
    <row r="110">
      <c r="A110" s="41" t="s">
        <v>74</v>
      </c>
      <c r="B110" s="41" t="s">
        <v>75</v>
      </c>
      <c r="C110" s="41">
        <v>36.28</v>
      </c>
      <c r="D110" s="41">
        <v>46.15</v>
      </c>
      <c r="E110" s="41">
        <v>34.0</v>
      </c>
      <c r="F110" s="41">
        <v>47.0</v>
      </c>
      <c r="G110" s="46">
        <v>2.0481584980171017</v>
      </c>
      <c r="H110" s="46">
        <v>2.8312779237295223</v>
      </c>
      <c r="I110" s="43">
        <f t="shared" ref="I110:J110" si="28">E110-C110</f>
        <v>-2.28</v>
      </c>
      <c r="J110" s="43">
        <f t="shared" si="28"/>
        <v>0.85</v>
      </c>
    </row>
    <row r="111">
      <c r="A111" s="41" t="s">
        <v>76</v>
      </c>
      <c r="B111" s="41" t="s">
        <v>77</v>
      </c>
      <c r="C111" s="41">
        <v>40.86</v>
      </c>
      <c r="D111" s="41">
        <v>40.57</v>
      </c>
      <c r="E111" s="41">
        <v>42.0</v>
      </c>
      <c r="F111" s="41">
        <v>38.0</v>
      </c>
      <c r="G111" s="46">
        <v>2.540962944290396</v>
      </c>
      <c r="H111" s="46">
        <v>2.298966473405596</v>
      </c>
      <c r="I111" s="43">
        <f t="shared" ref="I111:J111" si="29">E111-C111</f>
        <v>1.14</v>
      </c>
      <c r="J111" s="43">
        <f t="shared" si="29"/>
        <v>-2.57</v>
      </c>
    </row>
    <row r="123">
      <c r="A123" s="9" t="s">
        <v>59</v>
      </c>
      <c r="B123" s="9" t="s">
        <v>60</v>
      </c>
      <c r="C123" s="24" t="s">
        <v>5</v>
      </c>
      <c r="D123" s="9" t="s">
        <v>6</v>
      </c>
      <c r="E123" s="25" t="s">
        <v>7</v>
      </c>
      <c r="F123" s="25" t="s">
        <v>8</v>
      </c>
      <c r="G123" s="25" t="s">
        <v>9</v>
      </c>
      <c r="H123" s="25" t="s">
        <v>10</v>
      </c>
      <c r="I123" s="26" t="s">
        <v>11</v>
      </c>
      <c r="J123" s="26" t="s">
        <v>12</v>
      </c>
      <c r="K123" s="26" t="s">
        <v>13</v>
      </c>
      <c r="L123" s="26" t="s">
        <v>14</v>
      </c>
      <c r="M123" s="9" t="s">
        <v>15</v>
      </c>
      <c r="N123" s="9" t="s">
        <v>16</v>
      </c>
      <c r="O123" s="9" t="s">
        <v>17</v>
      </c>
      <c r="P123" s="9" t="s">
        <v>18</v>
      </c>
      <c r="Q123" s="27" t="s">
        <v>19</v>
      </c>
      <c r="R123" s="27" t="s">
        <v>20</v>
      </c>
      <c r="S123" s="27" t="s">
        <v>21</v>
      </c>
      <c r="T123" s="28" t="s">
        <v>22</v>
      </c>
      <c r="U123" s="28" t="s">
        <v>23</v>
      </c>
      <c r="V123" s="28" t="s">
        <v>24</v>
      </c>
      <c r="W123" s="29" t="s">
        <v>25</v>
      </c>
      <c r="X123" s="29" t="s">
        <v>26</v>
      </c>
      <c r="Y123" s="29" t="s">
        <v>27</v>
      </c>
      <c r="Z123" s="29" t="s">
        <v>28</v>
      </c>
      <c r="AA123" s="29" t="s">
        <v>29</v>
      </c>
      <c r="AB123" s="29" t="s">
        <v>30</v>
      </c>
    </row>
    <row r="124">
      <c r="A124" s="9" t="s">
        <v>3</v>
      </c>
      <c r="B124" s="9" t="s">
        <v>61</v>
      </c>
      <c r="C124" s="24">
        <v>81.0</v>
      </c>
      <c r="D124" s="35">
        <v>0.9533449074074074</v>
      </c>
      <c r="E124" s="25">
        <f t="shared" ref="E124:E133" si="30">SUM(F124:H124)</f>
        <v>1377</v>
      </c>
      <c r="F124" s="25">
        <v>701.0</v>
      </c>
      <c r="G124" s="25">
        <v>335.0</v>
      </c>
      <c r="H124" s="25">
        <v>341.0</v>
      </c>
      <c r="I124" s="26">
        <v>1148.0</v>
      </c>
      <c r="J124" s="26">
        <v>608.0</v>
      </c>
      <c r="K124" s="26">
        <v>241.0</v>
      </c>
      <c r="L124" s="26">
        <f t="shared" ref="L124:L133" si="31">I124-J124-K124</f>
        <v>299</v>
      </c>
      <c r="M124" s="9">
        <v>77.0</v>
      </c>
      <c r="N124" s="9">
        <v>166.0</v>
      </c>
      <c r="O124" s="9">
        <v>84.0</v>
      </c>
      <c r="P124" s="9">
        <v>186.0</v>
      </c>
      <c r="Q124" s="27">
        <v>777.0</v>
      </c>
      <c r="R124" s="27">
        <v>205.0</v>
      </c>
      <c r="S124" s="27">
        <v>54.0</v>
      </c>
      <c r="T124" s="28">
        <v>609.0</v>
      </c>
      <c r="U124" s="28">
        <v>178.0</v>
      </c>
      <c r="V124" s="28">
        <v>62.0</v>
      </c>
      <c r="W124" s="29">
        <v>63.92</v>
      </c>
      <c r="X124" s="29">
        <v>57.35</v>
      </c>
      <c r="Y124" s="29">
        <v>80.0</v>
      </c>
      <c r="Z124" s="29">
        <v>60.0</v>
      </c>
      <c r="AA124" s="32">
        <v>3.4964610472386455</v>
      </c>
      <c r="AB124" s="32">
        <v>2.622345785428984</v>
      </c>
    </row>
    <row r="125">
      <c r="A125" s="9" t="s">
        <v>62</v>
      </c>
      <c r="B125" s="9" t="s">
        <v>63</v>
      </c>
      <c r="C125" s="24">
        <v>76.0</v>
      </c>
      <c r="D125" s="36">
        <v>0.911261574074074</v>
      </c>
      <c r="E125" s="25">
        <f t="shared" si="30"/>
        <v>1163</v>
      </c>
      <c r="F125" s="25">
        <v>633.0</v>
      </c>
      <c r="G125" s="25">
        <v>240.0</v>
      </c>
      <c r="H125" s="25">
        <v>290.0</v>
      </c>
      <c r="I125" s="26">
        <v>1047.0</v>
      </c>
      <c r="J125" s="26">
        <v>542.0</v>
      </c>
      <c r="K125" s="26">
        <v>232.0</v>
      </c>
      <c r="L125" s="26">
        <f t="shared" si="31"/>
        <v>273</v>
      </c>
      <c r="M125" s="9">
        <v>72.0</v>
      </c>
      <c r="N125" s="9">
        <v>161.0</v>
      </c>
      <c r="O125" s="9">
        <v>97.0</v>
      </c>
      <c r="P125" s="9">
        <v>202.0</v>
      </c>
      <c r="Q125" s="27">
        <v>634.0</v>
      </c>
      <c r="R125" s="27">
        <v>180.0</v>
      </c>
      <c r="S125" s="27">
        <v>59.0</v>
      </c>
      <c r="T125" s="28">
        <v>543.0</v>
      </c>
      <c r="U125" s="28">
        <v>180.0</v>
      </c>
      <c r="V125" s="28">
        <v>51.0</v>
      </c>
      <c r="W125" s="29">
        <v>57.62</v>
      </c>
      <c r="X125" s="29">
        <v>52.24</v>
      </c>
      <c r="Y125" s="29">
        <v>53.0</v>
      </c>
      <c r="Z125" s="29">
        <v>44.0</v>
      </c>
      <c r="AA125" s="32">
        <v>2.423380285267931</v>
      </c>
      <c r="AB125" s="32">
        <v>2.011862878335641</v>
      </c>
    </row>
    <row r="126">
      <c r="A126" s="9" t="s">
        <v>64</v>
      </c>
      <c r="B126" s="9" t="s">
        <v>65</v>
      </c>
      <c r="C126" s="24">
        <v>81.0</v>
      </c>
      <c r="D126" s="36">
        <v>0.9077662037037038</v>
      </c>
      <c r="E126" s="25">
        <f t="shared" si="30"/>
        <v>1430</v>
      </c>
      <c r="F126" s="25">
        <v>731.0</v>
      </c>
      <c r="G126" s="25">
        <v>352.0</v>
      </c>
      <c r="H126" s="25">
        <v>347.0</v>
      </c>
      <c r="I126" s="26">
        <v>1003.0</v>
      </c>
      <c r="J126" s="26">
        <v>571.0</v>
      </c>
      <c r="K126" s="26">
        <v>210.0</v>
      </c>
      <c r="L126" s="26">
        <f t="shared" si="31"/>
        <v>222</v>
      </c>
      <c r="M126" s="9">
        <v>81.0</v>
      </c>
      <c r="N126" s="9">
        <v>169.0</v>
      </c>
      <c r="O126" s="9">
        <v>82.0</v>
      </c>
      <c r="P126" s="9">
        <v>173.0</v>
      </c>
      <c r="Q126" s="27">
        <v>817.0</v>
      </c>
      <c r="R126" s="27">
        <v>205.0</v>
      </c>
      <c r="S126" s="27">
        <v>61.0</v>
      </c>
      <c r="T126" s="28">
        <v>570.0</v>
      </c>
      <c r="U126" s="28">
        <v>166.0</v>
      </c>
      <c r="V126" s="28">
        <v>45.0</v>
      </c>
      <c r="W126" s="29">
        <v>65.21</v>
      </c>
      <c r="X126" s="29">
        <v>48.88</v>
      </c>
      <c r="Y126" s="29">
        <v>56.0</v>
      </c>
      <c r="Z126" s="29">
        <v>49.0</v>
      </c>
      <c r="AA126" s="32">
        <v>2.570412209457995</v>
      </c>
      <c r="AB126" s="32">
        <v>2.2491106832757457</v>
      </c>
    </row>
    <row r="127">
      <c r="A127" s="9" t="s">
        <v>66</v>
      </c>
      <c r="B127" s="9" t="s">
        <v>65</v>
      </c>
      <c r="C127" s="24">
        <v>76.0</v>
      </c>
      <c r="D127" s="36">
        <v>0.8291782407407408</v>
      </c>
      <c r="E127" s="25">
        <f t="shared" si="30"/>
        <v>1474</v>
      </c>
      <c r="F127" s="25">
        <v>733.0</v>
      </c>
      <c r="G127" s="25">
        <v>357.0</v>
      </c>
      <c r="H127" s="25">
        <v>384.0</v>
      </c>
      <c r="I127" s="26">
        <v>903.0</v>
      </c>
      <c r="J127" s="26">
        <v>506.0</v>
      </c>
      <c r="K127" s="26">
        <v>202.0</v>
      </c>
      <c r="L127" s="26">
        <f t="shared" si="31"/>
        <v>195</v>
      </c>
      <c r="M127" s="9">
        <v>74.0</v>
      </c>
      <c r="N127" s="9">
        <v>151.0</v>
      </c>
      <c r="O127" s="9">
        <v>67.0</v>
      </c>
      <c r="P127" s="9">
        <v>136.0</v>
      </c>
      <c r="Q127" s="27">
        <v>823.0</v>
      </c>
      <c r="R127" s="27">
        <v>197.0</v>
      </c>
      <c r="S127" s="27">
        <v>70.0</v>
      </c>
      <c r="T127" s="28">
        <v>524.0</v>
      </c>
      <c r="U127" s="28">
        <v>153.0</v>
      </c>
      <c r="V127" s="28">
        <v>31.0</v>
      </c>
      <c r="W127" s="29">
        <v>67.19</v>
      </c>
      <c r="X127" s="29">
        <v>41.7</v>
      </c>
      <c r="Y127" s="29">
        <v>52.0</v>
      </c>
      <c r="Z127" s="29">
        <v>39.0</v>
      </c>
      <c r="AA127" s="32">
        <v>2.6130288521935765</v>
      </c>
      <c r="AB127" s="32">
        <v>1.959771639145182</v>
      </c>
    </row>
    <row r="128">
      <c r="A128" s="9" t="s">
        <v>67</v>
      </c>
      <c r="B128" s="9" t="s">
        <v>68</v>
      </c>
      <c r="C128" s="24">
        <v>79.0</v>
      </c>
      <c r="D128" s="36">
        <v>0.777800925925926</v>
      </c>
      <c r="E128" s="25">
        <f t="shared" si="30"/>
        <v>1064</v>
      </c>
      <c r="F128" s="25">
        <v>564.0</v>
      </c>
      <c r="G128" s="25">
        <v>224.0</v>
      </c>
      <c r="H128" s="25">
        <v>276.0</v>
      </c>
      <c r="I128" s="26">
        <v>1003.0</v>
      </c>
      <c r="J128" s="26">
        <v>514.0</v>
      </c>
      <c r="K128" s="26">
        <v>208.0</v>
      </c>
      <c r="L128" s="26">
        <f t="shared" si="31"/>
        <v>281</v>
      </c>
      <c r="M128" s="9">
        <v>65.0</v>
      </c>
      <c r="N128" s="9">
        <v>136.0</v>
      </c>
      <c r="O128" s="9">
        <v>59.0</v>
      </c>
      <c r="P128" s="9">
        <v>124.0</v>
      </c>
      <c r="Q128" s="27">
        <v>601.0</v>
      </c>
      <c r="R128" s="27">
        <v>151.0</v>
      </c>
      <c r="S128" s="27">
        <v>36.0</v>
      </c>
      <c r="T128" s="28">
        <v>515.0</v>
      </c>
      <c r="U128" s="28">
        <v>159.0</v>
      </c>
      <c r="V128" s="28">
        <v>48.0</v>
      </c>
      <c r="W128" s="29">
        <v>44.83</v>
      </c>
      <c r="X128" s="29">
        <v>47.63</v>
      </c>
      <c r="Y128" s="29">
        <v>48.0</v>
      </c>
      <c r="Z128" s="29">
        <v>55.0</v>
      </c>
      <c r="AA128" s="32">
        <v>2.5713520430939556</v>
      </c>
      <c r="AB128" s="32">
        <v>2.946340882711824</v>
      </c>
    </row>
    <row r="129">
      <c r="A129" s="9" t="s">
        <v>69</v>
      </c>
      <c r="B129" s="9" t="s">
        <v>70</v>
      </c>
      <c r="C129" s="24">
        <v>80.0</v>
      </c>
      <c r="D129" s="36">
        <v>0.7530092592592592</v>
      </c>
      <c r="E129" s="25">
        <f t="shared" si="30"/>
        <v>999</v>
      </c>
      <c r="F129" s="25">
        <v>538.0</v>
      </c>
      <c r="G129" s="25">
        <v>211.0</v>
      </c>
      <c r="H129" s="25">
        <v>250.0</v>
      </c>
      <c r="I129" s="26">
        <v>986.0</v>
      </c>
      <c r="J129" s="26">
        <v>560.0</v>
      </c>
      <c r="K129" s="26">
        <v>206.0</v>
      </c>
      <c r="L129" s="26">
        <f t="shared" si="31"/>
        <v>220</v>
      </c>
      <c r="M129" s="9">
        <v>84.0</v>
      </c>
      <c r="N129" s="9">
        <v>182.0</v>
      </c>
      <c r="O129" s="9">
        <v>70.0</v>
      </c>
      <c r="P129" s="9">
        <v>152.0</v>
      </c>
      <c r="Q129" s="27">
        <v>526.0</v>
      </c>
      <c r="R129" s="27">
        <v>184.0</v>
      </c>
      <c r="S129" s="27">
        <v>39.0</v>
      </c>
      <c r="T129" s="28">
        <v>569.0</v>
      </c>
      <c r="U129" s="28">
        <v>157.0</v>
      </c>
      <c r="V129" s="28">
        <v>40.0</v>
      </c>
      <c r="W129" s="29">
        <v>49.95</v>
      </c>
      <c r="X129" s="29">
        <v>48.83</v>
      </c>
      <c r="Y129" s="29">
        <v>46.0</v>
      </c>
      <c r="Z129" s="29">
        <v>48.0</v>
      </c>
      <c r="AA129" s="32">
        <v>2.545342760528743</v>
      </c>
      <c r="AB129" s="32">
        <v>2.6560098370734706</v>
      </c>
    </row>
    <row r="130">
      <c r="A130" s="9" t="s">
        <v>2</v>
      </c>
      <c r="B130" s="9" t="s">
        <v>71</v>
      </c>
      <c r="C130" s="24">
        <v>76.0</v>
      </c>
      <c r="D130" s="36">
        <v>0.7087847222222222</v>
      </c>
      <c r="E130" s="25">
        <f t="shared" si="30"/>
        <v>976</v>
      </c>
      <c r="F130" s="25">
        <v>476.0</v>
      </c>
      <c r="G130" s="25">
        <v>240.0</v>
      </c>
      <c r="H130" s="25">
        <v>260.0</v>
      </c>
      <c r="I130" s="26">
        <v>985.0</v>
      </c>
      <c r="J130" s="26">
        <v>474.0</v>
      </c>
      <c r="K130" s="26">
        <v>201.0</v>
      </c>
      <c r="L130" s="26">
        <f t="shared" si="31"/>
        <v>310</v>
      </c>
      <c r="M130" s="9">
        <v>63.0</v>
      </c>
      <c r="N130" s="9">
        <v>150.0</v>
      </c>
      <c r="O130" s="9">
        <v>66.0</v>
      </c>
      <c r="P130" s="9">
        <v>156.0</v>
      </c>
      <c r="Q130" s="27">
        <v>535.0</v>
      </c>
      <c r="R130" s="27">
        <v>147.0</v>
      </c>
      <c r="S130" s="27">
        <v>34.0</v>
      </c>
      <c r="T130" s="28">
        <v>529.0</v>
      </c>
      <c r="U130" s="28">
        <v>125.0</v>
      </c>
      <c r="V130" s="28">
        <v>21.0</v>
      </c>
      <c r="W130" s="29">
        <v>42.27</v>
      </c>
      <c r="X130" s="29">
        <v>36.82</v>
      </c>
      <c r="Y130" s="29">
        <v>43.0</v>
      </c>
      <c r="Z130" s="29">
        <v>28.0</v>
      </c>
      <c r="AA130" s="32">
        <v>2.5278009111840496</v>
      </c>
      <c r="AB130" s="32">
        <v>1.6460098956547298</v>
      </c>
    </row>
    <row r="131">
      <c r="A131" s="9" t="s">
        <v>72</v>
      </c>
      <c r="B131" s="9" t="s">
        <v>73</v>
      </c>
      <c r="C131" s="24">
        <v>78.0</v>
      </c>
      <c r="D131" s="36">
        <v>0.7077893518518519</v>
      </c>
      <c r="E131" s="25">
        <f t="shared" si="30"/>
        <v>1132</v>
      </c>
      <c r="F131" s="25">
        <v>615.0</v>
      </c>
      <c r="G131" s="25">
        <v>238.0</v>
      </c>
      <c r="H131" s="25">
        <v>279.0</v>
      </c>
      <c r="I131" s="26">
        <v>945.0</v>
      </c>
      <c r="J131" s="26">
        <v>482.0</v>
      </c>
      <c r="K131" s="26">
        <v>220.0</v>
      </c>
      <c r="L131" s="26">
        <f t="shared" si="31"/>
        <v>243</v>
      </c>
      <c r="M131" s="9">
        <v>58.0</v>
      </c>
      <c r="N131" s="9">
        <v>124.0</v>
      </c>
      <c r="O131" s="9">
        <v>55.0</v>
      </c>
      <c r="P131" s="9">
        <v>126.0</v>
      </c>
      <c r="Q131" s="27">
        <v>655.0</v>
      </c>
      <c r="R131" s="27">
        <v>148.0</v>
      </c>
      <c r="S131" s="27">
        <v>50.0</v>
      </c>
      <c r="T131" s="28">
        <v>527.0</v>
      </c>
      <c r="U131" s="28">
        <v>138.0</v>
      </c>
      <c r="V131" s="28">
        <v>37.0</v>
      </c>
      <c r="W131" s="29">
        <v>51.55</v>
      </c>
      <c r="X131" s="29">
        <v>41.31</v>
      </c>
      <c r="Y131" s="29">
        <v>61.0</v>
      </c>
      <c r="Z131" s="29">
        <v>38.0</v>
      </c>
      <c r="AA131" s="32">
        <v>3.5909930829231604</v>
      </c>
      <c r="AB131" s="32">
        <v>2.237012084443936</v>
      </c>
    </row>
    <row r="132">
      <c r="A132" s="9" t="s">
        <v>74</v>
      </c>
      <c r="B132" s="9" t="s">
        <v>75</v>
      </c>
      <c r="C132" s="24">
        <v>75.0</v>
      </c>
      <c r="D132" s="36">
        <v>0.6916782407407407</v>
      </c>
      <c r="E132" s="25">
        <f t="shared" si="30"/>
        <v>792</v>
      </c>
      <c r="F132" s="25">
        <v>414.0</v>
      </c>
      <c r="G132" s="25">
        <v>174.0</v>
      </c>
      <c r="H132" s="25">
        <v>204.0</v>
      </c>
      <c r="I132" s="26">
        <v>928.0</v>
      </c>
      <c r="J132" s="26">
        <v>513.0</v>
      </c>
      <c r="K132" s="26">
        <v>182.0</v>
      </c>
      <c r="L132" s="26">
        <f t="shared" si="31"/>
        <v>233</v>
      </c>
      <c r="M132" s="9">
        <v>54.0</v>
      </c>
      <c r="N132" s="9">
        <v>111.0</v>
      </c>
      <c r="O132" s="9">
        <v>60.0</v>
      </c>
      <c r="P132" s="9">
        <v>125.0</v>
      </c>
      <c r="Q132" s="27">
        <v>438.0</v>
      </c>
      <c r="R132" s="27">
        <v>119.0</v>
      </c>
      <c r="S132" s="27">
        <v>31.0</v>
      </c>
      <c r="T132" s="28">
        <v>512.0</v>
      </c>
      <c r="U132" s="28">
        <v>142.0</v>
      </c>
      <c r="V132" s="28">
        <v>41.0</v>
      </c>
      <c r="W132" s="29">
        <v>36.28</v>
      </c>
      <c r="X132" s="29">
        <v>46.15</v>
      </c>
      <c r="Y132" s="29">
        <v>34.0</v>
      </c>
      <c r="Z132" s="29">
        <v>47.0</v>
      </c>
      <c r="AA132" s="32">
        <v>2.0481584980171017</v>
      </c>
      <c r="AB132" s="32">
        <v>2.8312779237295223</v>
      </c>
    </row>
    <row r="133">
      <c r="A133" s="9" t="s">
        <v>76</v>
      </c>
      <c r="B133" s="9" t="s">
        <v>77</v>
      </c>
      <c r="C133" s="24">
        <v>82.0</v>
      </c>
      <c r="D133" s="36">
        <v>0.6887152777777777</v>
      </c>
      <c r="E133" s="25">
        <f t="shared" si="30"/>
        <v>866</v>
      </c>
      <c r="F133" s="25">
        <v>456.0</v>
      </c>
      <c r="G133" s="25">
        <v>162.0</v>
      </c>
      <c r="H133" s="25">
        <v>248.0</v>
      </c>
      <c r="I133" s="26">
        <v>968.0</v>
      </c>
      <c r="J133" s="26">
        <v>499.0</v>
      </c>
      <c r="K133" s="26">
        <v>204.0</v>
      </c>
      <c r="L133" s="26">
        <f t="shared" si="31"/>
        <v>265</v>
      </c>
      <c r="M133" s="9">
        <v>62.0</v>
      </c>
      <c r="N133" s="9">
        <v>133.0</v>
      </c>
      <c r="O133" s="9">
        <v>59.0</v>
      </c>
      <c r="P133" s="9">
        <v>125.0</v>
      </c>
      <c r="Q133" s="27">
        <v>442.0</v>
      </c>
      <c r="R133" s="27">
        <v>132.0</v>
      </c>
      <c r="S133" s="27">
        <v>44.0</v>
      </c>
      <c r="T133" s="28">
        <v>539.0</v>
      </c>
      <c r="U133" s="28">
        <v>127.0</v>
      </c>
      <c r="V133" s="28">
        <v>37.0</v>
      </c>
      <c r="W133" s="29">
        <v>40.86</v>
      </c>
      <c r="X133" s="29">
        <v>40.57</v>
      </c>
      <c r="Y133" s="29">
        <v>42.0</v>
      </c>
      <c r="Z133" s="29">
        <v>38.0</v>
      </c>
      <c r="AA133" s="32">
        <v>2.540962944290396</v>
      </c>
      <c r="AB133" s="32">
        <v>2.298966473405596</v>
      </c>
    </row>
  </sheetData>
  <autoFilter ref="$A$89:$F$99">
    <sortState ref="A89:F99">
      <sortCondition ref="E89:E99"/>
    </sortState>
  </autoFilter>
  <drawing r:id="rId1"/>
</worksheet>
</file>